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928" codeName="{AE6600E7-7A62-396C-DE95-9942FA9DD81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DNSC_JetDrive_Intermediate\JetDrive\HD\11897\Release\Order2\[HD]#11897_XJMFCommunicationBetweenTPAndUWRW_20220118\"/>
    </mc:Choice>
  </mc:AlternateContent>
  <xr:revisionPtr revIDLastSave="0" documentId="8_{C58B5F5A-766C-493F-86B8-04C9040B79C1}" xr6:coauthVersionLast="47" xr6:coauthVersionMax="47" xr10:uidLastSave="{00000000-0000-0000-0000-000000000000}"/>
  <bookViews>
    <workbookView xWindow="-120" yWindow="-120" windowWidth="29040" windowHeight="16440" tabRatio="921" activeTab="3"/>
  </bookViews>
  <sheets>
    <sheet name="Cover" sheetId="1" r:id="rId1"/>
    <sheet name="Summary" sheetId="2" r:id="rId2"/>
    <sheet name="SampleTCS" sheetId="3" state="hidden" r:id="rId3"/>
    <sheet name="Test cases" sheetId="4" r:id="rId4"/>
    <sheet name="Test Data" sheetId="9" r:id="rId5"/>
    <sheet name=" Test environment." sheetId="6" r:id="rId6"/>
    <sheet name="Screen." sheetId="7" r:id="rId7"/>
  </sheets>
  <functionGroups builtInGroupCount="19"/>
  <definedNames>
    <definedName name="Excel_BuiltIn_Print_Area" localSheetId="3">'Test cases'!$A$1:$H$58</definedName>
    <definedName name="PR06_03">#REF!</definedName>
    <definedName name="PR06_11" localSheetId="3">#REF!</definedName>
    <definedName name="PR06_11">#REF!</definedName>
    <definedName name="_xlnm.Print_Area" localSheetId="5">' Test environment.'!$A$1:$L$20</definedName>
    <definedName name="_xlnm.Print_Area" localSheetId="0">Cover!$A$1:$H$14</definedName>
    <definedName name="_xlnm.Print_Area" localSheetId="6">Screen.!$A$1:$F$24</definedName>
    <definedName name="_xlnm.Print_Area" localSheetId="1">Summary!$A$1:$Q$32</definedName>
    <definedName name="_xlnm.Print_Area" localSheetId="3">'Test cases'!$B$1:$G$58</definedName>
    <definedName name="Screen_PR0_6_1" localSheetId="3">#REF!</definedName>
    <definedName name="Screen_PR0_6_1">#REF!</definedName>
    <definedName name="_SP200">#REF!</definedName>
    <definedName name="Z_3ADB2162_F023_4047_A590_85A9AD971B9A_.wvu.Cols" localSheetId="2">SampleTCS!$A:$A</definedName>
    <definedName name="Z_3ADB2162_F023_4047_A590_85A9AD971B9A_.wvu.Cols" localSheetId="3">'Test cases'!$A:$A</definedName>
    <definedName name="Z_3ADB2162_F023_4047_A590_85A9AD971B9A_.wvu.Rows" localSheetId="2">SampleTCS!#REF!</definedName>
    <definedName name="Z_3ADB2162_F023_4047_A590_85A9AD971B9A_.wvu.Rows" localSheetId="3">'Test cases'!#REF!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3" i="4" l="1"/>
  <c r="C223" i="4"/>
  <c r="D203" i="4"/>
  <c r="C203" i="4"/>
  <c r="D196" i="4"/>
  <c r="C196" i="4"/>
  <c r="D189" i="4"/>
  <c r="C189" i="4"/>
  <c r="D166" i="4"/>
  <c r="C166" i="4"/>
  <c r="D144" i="4"/>
  <c r="C144" i="4"/>
  <c r="D130" i="4"/>
  <c r="C130" i="4"/>
  <c r="D121" i="4"/>
  <c r="C121" i="4"/>
  <c r="D109" i="4"/>
  <c r="C109" i="4"/>
  <c r="D102" i="4"/>
  <c r="C102" i="4"/>
  <c r="D84" i="4"/>
  <c r="C84" i="4"/>
  <c r="D75" i="4"/>
  <c r="C75" i="4"/>
  <c r="D59" i="4"/>
  <c r="C59" i="4"/>
  <c r="D50" i="4"/>
  <c r="C50" i="4"/>
  <c r="D44" i="4"/>
  <c r="C44" i="4"/>
  <c r="D30" i="4"/>
  <c r="C30" i="4"/>
  <c r="D7" i="4"/>
  <c r="C7" i="4"/>
  <c r="D254" i="4"/>
  <c r="C254" i="4"/>
  <c r="E2" i="4"/>
  <c r="H6" i="2"/>
  <c r="H7" i="2"/>
  <c r="H8" i="2"/>
</calcChain>
</file>

<file path=xl/comments1.xml><?xml version="1.0" encoding="utf-8"?>
<comments xmlns="http://schemas.openxmlformats.org/spreadsheetml/2006/main">
  <authors>
    <author/>
  </authors>
  <commentList>
    <comment ref="B10" authorId="0" shapeId="0">
      <text>
        <r>
          <rPr>
            <sz val="9"/>
            <rFont val="Times New Roman"/>
            <family val="1"/>
          </rPr>
          <t>Req_ID_NN
FT_ABC_NN
PT_ABC_NN</t>
        </r>
      </text>
    </comment>
    <comment ref="G10" authorId="0" shapeId="0">
      <text>
        <r>
          <rPr>
            <sz val="9"/>
            <rFont val="Times New Roman"/>
            <family val="1"/>
          </rPr>
          <t>H : High
M : Medium
L : Low</t>
        </r>
      </text>
    </comment>
    <comment ref="H10" authorId="0" shapeId="0">
      <text>
        <r>
          <rPr>
            <sz val="9"/>
            <rFont val="Times New Roman"/>
            <family val="1"/>
          </rPr>
          <t>P: Passed
F: Failed</t>
        </r>
      </text>
    </comment>
    <comment ref="J11" authorId="0" shapeId="0">
      <text>
        <r>
          <rPr>
            <sz val="9"/>
            <rFont val="Times New Roman"/>
            <family val="1"/>
          </rPr>
          <t>I: Intended
P: Passed
F: Failed</t>
        </r>
      </text>
    </comment>
    <comment ref="L11" authorId="0" shapeId="0">
      <text>
        <r>
          <rPr>
            <sz val="9"/>
            <rFont val="Times New Roman"/>
            <family val="1"/>
          </rPr>
          <t>I: Intended
P: Passed
F: Failed</t>
        </r>
      </text>
    </comment>
    <comment ref="N11" authorId="0" shapeId="0">
      <text>
        <r>
          <rPr>
            <sz val="9"/>
            <rFont val="Times New Roman"/>
            <family val="1"/>
          </rPr>
          <t>I: Intended
P: Passed
F: Failed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D2" authorId="0" shapeId="0">
      <text>
        <r>
          <rPr>
            <sz val="9"/>
            <rFont val="Times New Roman"/>
            <family val="1"/>
          </rPr>
          <t>Convention:
Req_ID-ReqBriefName</t>
        </r>
      </text>
    </comment>
    <comment ref="E3" authorId="0" shapeId="0">
      <text>
        <r>
          <rPr>
            <sz val="9"/>
            <rFont val="Times New Roman"/>
            <family val="1"/>
          </rPr>
          <t>Req Brief Descriptions</t>
        </r>
      </text>
    </comment>
    <comment ref="C6" authorId="0" shapeId="0">
      <text>
        <r>
          <rPr>
            <sz val="9"/>
            <rFont val="Times New Roman"/>
            <family val="1"/>
          </rPr>
          <t>Req_ID_NN
FT_ABC_NN
PT_ABC_NN</t>
        </r>
      </text>
    </comment>
    <comment ref="A7" authorId="0" shapeId="0">
      <text>
        <r>
          <rPr>
            <sz val="9"/>
            <rFont val="Times New Roman"/>
            <family val="1"/>
          </rPr>
          <t xml:space="preserve">GCS:
</t>
        </r>
      </text>
    </comment>
    <comment ref="D8" authorId="0" shapeId="0">
      <text>
        <r>
          <rPr>
            <sz val="9"/>
            <rFont val="Times New Roman"/>
            <family val="1"/>
          </rPr>
          <t>Precondition</t>
        </r>
      </text>
    </comment>
  </commentList>
</comments>
</file>

<file path=xl/comments3.xml><?xml version="1.0" encoding="utf-8"?>
<comments xmlns="http://schemas.openxmlformats.org/spreadsheetml/2006/main">
  <authors>
    <author/>
  </authors>
  <commentList>
    <comment ref="D2" authorId="0" shapeId="0">
      <text>
        <r>
          <rPr>
            <sz val="9"/>
            <rFont val="Times New Roman"/>
            <family val="1"/>
          </rPr>
          <t>Convention:
Req_ID-ReqBriefName</t>
        </r>
      </text>
    </comment>
    <comment ref="E3" authorId="0" shapeId="0">
      <text>
        <r>
          <rPr>
            <sz val="9"/>
            <rFont val="Times New Roman"/>
            <family val="1"/>
          </rPr>
          <t>Req Brief Descriptions</t>
        </r>
      </text>
    </comment>
    <comment ref="C6" authorId="0" shapeId="0">
      <text>
        <r>
          <rPr>
            <sz val="9"/>
            <rFont val="Times New Roman"/>
            <family val="1"/>
          </rPr>
          <t>Req_ID_NN
FT_ABC_NN
PT_ABC_NN</t>
        </r>
      </text>
    </comment>
    <comment ref="A7" authorId="0" shapeId="0">
      <text>
        <r>
          <rPr>
            <sz val="9"/>
            <rFont val="Times New Roman"/>
            <family val="1"/>
          </rPr>
          <t xml:space="preserve">GCS:
</t>
        </r>
      </text>
    </comment>
    <comment ref="D8" authorId="0" shapeId="0">
      <text>
        <r>
          <rPr>
            <sz val="9"/>
            <rFont val="Times New Roman"/>
            <family val="1"/>
          </rPr>
          <t>Precondition</t>
        </r>
      </text>
    </comment>
    <comment ref="A30" authorId="0" shapeId="0">
      <text>
        <r>
          <rPr>
            <sz val="9"/>
            <rFont val="Times New Roman"/>
            <family val="1"/>
          </rPr>
          <t xml:space="preserve">GCS:
</t>
        </r>
      </text>
    </comment>
    <comment ref="D31" authorId="0" shapeId="0">
      <text>
        <r>
          <rPr>
            <sz val="9"/>
            <rFont val="Times New Roman"/>
            <family val="1"/>
          </rPr>
          <t>Precondition</t>
        </r>
      </text>
    </comment>
    <comment ref="A44" authorId="0" shapeId="0">
      <text>
        <r>
          <rPr>
            <sz val="9"/>
            <rFont val="Times New Roman"/>
            <family val="1"/>
          </rPr>
          <t xml:space="preserve">GCS:
</t>
        </r>
      </text>
    </comment>
    <comment ref="D45" authorId="0" shapeId="0">
      <text>
        <r>
          <rPr>
            <sz val="9"/>
            <rFont val="Times New Roman"/>
            <family val="1"/>
          </rPr>
          <t>Precondition</t>
        </r>
      </text>
    </comment>
    <comment ref="A50" authorId="0" shapeId="0">
      <text>
        <r>
          <rPr>
            <sz val="9"/>
            <rFont val="Times New Roman"/>
            <family val="1"/>
          </rPr>
          <t xml:space="preserve">GCS:
</t>
        </r>
      </text>
    </comment>
    <comment ref="D51" authorId="0" shapeId="0">
      <text>
        <r>
          <rPr>
            <sz val="9"/>
            <rFont val="Times New Roman"/>
            <family val="1"/>
          </rPr>
          <t>Precondition</t>
        </r>
      </text>
    </comment>
    <comment ref="A59" authorId="0" shapeId="0">
      <text>
        <r>
          <rPr>
            <sz val="9"/>
            <rFont val="Times New Roman"/>
            <family val="1"/>
          </rPr>
          <t xml:space="preserve">GCS:
</t>
        </r>
      </text>
    </comment>
    <comment ref="D60" authorId="0" shapeId="0">
      <text>
        <r>
          <rPr>
            <sz val="9"/>
            <rFont val="Times New Roman"/>
            <family val="1"/>
          </rPr>
          <t>Precondition</t>
        </r>
      </text>
    </comment>
    <comment ref="A75" authorId="0" shapeId="0">
      <text>
        <r>
          <rPr>
            <sz val="9"/>
            <rFont val="Times New Roman"/>
            <family val="1"/>
          </rPr>
          <t xml:space="preserve">GCS:
</t>
        </r>
      </text>
    </comment>
    <comment ref="D76" authorId="0" shapeId="0">
      <text>
        <r>
          <rPr>
            <sz val="9"/>
            <rFont val="Times New Roman"/>
            <family val="1"/>
          </rPr>
          <t>Precondition</t>
        </r>
      </text>
    </comment>
    <comment ref="A84" authorId="0" shapeId="0">
      <text>
        <r>
          <rPr>
            <sz val="9"/>
            <rFont val="Times New Roman"/>
            <family val="1"/>
          </rPr>
          <t xml:space="preserve">GCS:
</t>
        </r>
      </text>
    </comment>
    <comment ref="D85" authorId="0" shapeId="0">
      <text>
        <r>
          <rPr>
            <sz val="9"/>
            <rFont val="Times New Roman"/>
            <family val="1"/>
          </rPr>
          <t>Precondition</t>
        </r>
      </text>
    </comment>
    <comment ref="A102" authorId="0" shapeId="0">
      <text>
        <r>
          <rPr>
            <sz val="9"/>
            <rFont val="Times New Roman"/>
            <family val="1"/>
          </rPr>
          <t xml:space="preserve">GCS:
</t>
        </r>
      </text>
    </comment>
    <comment ref="D103" authorId="0" shapeId="0">
      <text>
        <r>
          <rPr>
            <sz val="9"/>
            <rFont val="Times New Roman"/>
            <family val="1"/>
          </rPr>
          <t>Precondition</t>
        </r>
      </text>
    </comment>
    <comment ref="A109" authorId="0" shapeId="0">
      <text>
        <r>
          <rPr>
            <sz val="9"/>
            <rFont val="Times New Roman"/>
            <family val="1"/>
          </rPr>
          <t xml:space="preserve">GCS:
</t>
        </r>
      </text>
    </comment>
    <comment ref="D110" authorId="0" shapeId="0">
      <text>
        <r>
          <rPr>
            <sz val="9"/>
            <rFont val="Times New Roman"/>
            <family val="1"/>
          </rPr>
          <t>Precondition</t>
        </r>
      </text>
    </comment>
    <comment ref="A121" authorId="0" shapeId="0">
      <text>
        <r>
          <rPr>
            <sz val="9"/>
            <rFont val="Times New Roman"/>
            <family val="1"/>
          </rPr>
          <t xml:space="preserve">GCS:
</t>
        </r>
      </text>
    </comment>
    <comment ref="D122" authorId="0" shapeId="0">
      <text>
        <r>
          <rPr>
            <sz val="9"/>
            <rFont val="Times New Roman"/>
            <family val="1"/>
          </rPr>
          <t>Precondition</t>
        </r>
      </text>
    </comment>
    <comment ref="A130" authorId="0" shapeId="0">
      <text>
        <r>
          <rPr>
            <sz val="9"/>
            <rFont val="Times New Roman"/>
            <family val="1"/>
          </rPr>
          <t xml:space="preserve">GCS:
</t>
        </r>
      </text>
    </comment>
    <comment ref="D131" authorId="0" shapeId="0">
      <text>
        <r>
          <rPr>
            <sz val="9"/>
            <rFont val="Times New Roman"/>
            <family val="1"/>
          </rPr>
          <t>Precondition</t>
        </r>
      </text>
    </comment>
    <comment ref="A144" authorId="0" shapeId="0">
      <text>
        <r>
          <rPr>
            <sz val="9"/>
            <rFont val="Times New Roman"/>
            <family val="1"/>
          </rPr>
          <t xml:space="preserve">GCS:
</t>
        </r>
      </text>
    </comment>
    <comment ref="D145" authorId="0" shapeId="0">
      <text>
        <r>
          <rPr>
            <sz val="9"/>
            <rFont val="Times New Roman"/>
            <family val="1"/>
          </rPr>
          <t>Precondition</t>
        </r>
      </text>
    </comment>
    <comment ref="A166" authorId="0" shapeId="0">
      <text>
        <r>
          <rPr>
            <sz val="9"/>
            <rFont val="Times New Roman"/>
            <family val="1"/>
          </rPr>
          <t xml:space="preserve">GCS:
</t>
        </r>
      </text>
    </comment>
    <comment ref="D167" authorId="0" shapeId="0">
      <text>
        <r>
          <rPr>
            <sz val="9"/>
            <rFont val="Times New Roman"/>
            <family val="1"/>
          </rPr>
          <t>Precondition</t>
        </r>
      </text>
    </comment>
    <comment ref="A189" authorId="0" shapeId="0">
      <text>
        <r>
          <rPr>
            <sz val="9"/>
            <rFont val="Times New Roman"/>
            <family val="1"/>
          </rPr>
          <t xml:space="preserve">GCS:
</t>
        </r>
      </text>
    </comment>
    <comment ref="D190" authorId="0" shapeId="0">
      <text>
        <r>
          <rPr>
            <sz val="9"/>
            <rFont val="Times New Roman"/>
            <family val="1"/>
          </rPr>
          <t>Precondition</t>
        </r>
      </text>
    </comment>
    <comment ref="A196" authorId="0" shapeId="0">
      <text>
        <r>
          <rPr>
            <sz val="9"/>
            <rFont val="Times New Roman"/>
            <family val="1"/>
          </rPr>
          <t xml:space="preserve">GCS:
</t>
        </r>
      </text>
    </comment>
    <comment ref="D197" authorId="0" shapeId="0">
      <text>
        <r>
          <rPr>
            <sz val="9"/>
            <rFont val="Times New Roman"/>
            <family val="1"/>
          </rPr>
          <t>Precondition</t>
        </r>
      </text>
    </comment>
    <comment ref="A203" authorId="0" shapeId="0">
      <text>
        <r>
          <rPr>
            <sz val="9"/>
            <rFont val="Times New Roman"/>
            <family val="1"/>
          </rPr>
          <t xml:space="preserve">GCS:
</t>
        </r>
      </text>
    </comment>
    <comment ref="D204" authorId="0" shapeId="0">
      <text>
        <r>
          <rPr>
            <sz val="9"/>
            <rFont val="Times New Roman"/>
            <family val="1"/>
          </rPr>
          <t>Precondition</t>
        </r>
      </text>
    </comment>
    <comment ref="A223" authorId="0" shapeId="0">
      <text>
        <r>
          <rPr>
            <sz val="9"/>
            <rFont val="Times New Roman"/>
            <family val="1"/>
          </rPr>
          <t xml:space="preserve">GCS:
</t>
        </r>
      </text>
    </comment>
    <comment ref="D224" authorId="0" shapeId="0">
      <text>
        <r>
          <rPr>
            <sz val="9"/>
            <rFont val="Times New Roman"/>
            <family val="1"/>
          </rPr>
          <t>Precondition</t>
        </r>
      </text>
    </comment>
    <comment ref="A254" authorId="0" shapeId="0">
      <text>
        <r>
          <rPr>
            <sz val="9"/>
            <rFont val="Times New Roman"/>
            <family val="1"/>
          </rPr>
          <t xml:space="preserve">GCS:
</t>
        </r>
      </text>
    </comment>
    <comment ref="D255" authorId="0" shapeId="0">
      <text>
        <r>
          <rPr>
            <sz val="9"/>
            <rFont val="Times New Roman"/>
            <family val="1"/>
          </rPr>
          <t>Precondition</t>
        </r>
      </text>
    </comment>
  </commentList>
</comments>
</file>

<file path=xl/sharedStrings.xml><?xml version="1.0" encoding="utf-8"?>
<sst xmlns="http://schemas.openxmlformats.org/spreadsheetml/2006/main" count="605" uniqueCount="395">
  <si>
    <t>TEST CASES</t>
  </si>
  <si>
    <t>Revision: 0.91</t>
  </si>
  <si>
    <t>DOCUMENT CHANGE LOG</t>
  </si>
  <si>
    <t>Revision</t>
  </si>
  <si>
    <t>Description</t>
  </si>
  <si>
    <t>Author</t>
  </si>
  <si>
    <t>Date</t>
  </si>
  <si>
    <t>Approved</t>
  </si>
  <si>
    <t>1.0</t>
  </si>
  <si>
    <t>Initial document</t>
  </si>
  <si>
    <t>Hoan Vu</t>
  </si>
  <si>
    <t>TEST EXECUTION REPORT</t>
  </si>
  <si>
    <t>Information</t>
  </si>
  <si>
    <t>Test Result Summary</t>
  </si>
  <si>
    <t>Project name</t>
  </si>
  <si>
    <t>JetDrive</t>
  </si>
  <si>
    <t>#Test Cases</t>
  </si>
  <si>
    <t>PM</t>
  </si>
  <si>
    <t>#Executed</t>
  </si>
  <si>
    <t>Reported By</t>
  </si>
  <si>
    <t>#Passed</t>
  </si>
  <si>
    <t>#Failed</t>
  </si>
  <si>
    <t>Test Case ID</t>
  </si>
  <si>
    <t>Test Cases Description</t>
  </si>
  <si>
    <t>Priority</t>
  </si>
  <si>
    <t>Result</t>
  </si>
  <si>
    <t>Tester</t>
  </si>
  <si>
    <t xml:space="preserve">Build </t>
  </si>
  <si>
    <t>Note</t>
  </si>
  <si>
    <t>Status</t>
  </si>
  <si>
    <t>Test Cases</t>
  </si>
  <si>
    <t xml:space="preserve">REQ001 - Function 001         </t>
  </si>
  <si>
    <t>Req Brief Descriptions</t>
  </si>
  <si>
    <t>Return to Summary Sheet</t>
  </si>
  <si>
    <t>Action</t>
  </si>
  <si>
    <t>Expected Result</t>
  </si>
  <si>
    <t>*</t>
  </si>
  <si>
    <t>* All screens don't display code</t>
  </si>
  <si>
    <t>Test Environment and Test Data</t>
  </si>
  <si>
    <t>Return to Summary sheet</t>
  </si>
  <si>
    <t>Test Environments</t>
  </si>
  <si>
    <t>Hardware Constraints</t>
  </si>
  <si>
    <t>OS &amp; Prerequisite Softwares</t>
  </si>
  <si>
    <t>PC</t>
  </si>
  <si>
    <t>Test Data</t>
  </si>
  <si>
    <t>Table</t>
  </si>
  <si>
    <t>Screen</t>
  </si>
  <si>
    <t>No.</t>
  </si>
  <si>
    <t>Assignee</t>
  </si>
  <si>
    <t>Noted</t>
  </si>
  <si>
    <t>Windows 10.</t>
  </si>
  <si>
    <t>Test Data ID</t>
  </si>
  <si>
    <t>Hitachi Vantara Vietnam Co., Ltd.</t>
  </si>
  <si>
    <t xml:space="preserve">TEST CASES FOR #11897 [HD] 
XJMF communication between Controller and UWRW </t>
  </si>
  <si>
    <t>Thang Pham</t>
  </si>
  <si>
    <t>TC-100-001</t>
  </si>
  <si>
    <t>Verify displaying of a warning message in case UWandRW_Receiver.exe is not started when the controller is started.</t>
  </si>
  <si>
    <t>M</t>
  </si>
  <si>
    <t>TC-201-001</t>
  </si>
  <si>
    <t>Verify operation if RW is not started when the controller is started.</t>
  </si>
  <si>
    <t>TC-201-002</t>
  </si>
  <si>
    <t>Verify operation when RW ends while the controller is starting.</t>
  </si>
  <si>
    <t>TC-201-003</t>
  </si>
  <si>
    <t>Verify operation when RW starts while the controller is starting.</t>
  </si>
  <si>
    <t>TC-300-001</t>
  </si>
  <si>
    <t>[DEBUG] Verify registration for condition monitoring channel.</t>
  </si>
  <si>
    <t>[DEBUG] Verify delete channels when controller starts and channel IDs exist</t>
  </si>
  <si>
    <t>TC-302-001</t>
  </si>
  <si>
    <t>[DEBUG] Verify delete channels when UWandRW_Receiver.exe is terminated</t>
  </si>
  <si>
    <t>TC-302-003</t>
  </si>
  <si>
    <t>Verify delete channels when Signal Status is not received</t>
  </si>
  <si>
    <t>[DEBUG] Verify re-register channels</t>
  </si>
  <si>
    <t>TC-400-002</t>
  </si>
  <si>
    <t>TC-400-001</t>
  </si>
  <si>
    <t>TC-402-001</t>
  </si>
  <si>
    <t>TC-402-002</t>
  </si>
  <si>
    <t>Verify reflecting paper information from RW into the current print condition when the controller is started.</t>
  </si>
  <si>
    <t>Verify reflecting paper information from RW into the print condition of running jobs.</t>
  </si>
  <si>
    <t>Verify reflecting paper information from RW into the job files of running jobs.</t>
  </si>
  <si>
    <t>- PrintNav is not started
- UWandRW_Receiver.exe is not started</t>
  </si>
  <si>
    <t>- Start PrintNav</t>
  </si>
  <si>
    <t>- Verify that there is a warning message displayed to inform the communication service program is not started.</t>
  </si>
  <si>
    <t>- Refer to TD-001</t>
  </si>
  <si>
    <t>*Note:
Because there is no RW in our environment, so we use a TestUWTool to simulate for the opreation of RW when testing.</t>
  </si>
  <si>
    <t>- Start PrintNav.</t>
  </si>
  <si>
    <t>- Wait for the interval which is specified by keys in the TP-UWRW_Communication.ini file (The interval = .Resource_RepeatTime + SIGNALSTATUS_TIMEOUT_JUDEGMENT_WAITTIME)
- Verify displaying of the paper remaining amount on status bar.</t>
  </si>
  <si>
    <t>- Wait for an interval which is summary of the interval which is specified in "Status_RepeatTime" key and SIGNALSTATUS_TIMEOUT_
JUDEGMENT_WAITTIME key in the TP-UWRW_Communication.ini file.
- Verify displaying of the RW icon.
(When waiting, there will be a warning message dialog displayed to inform that a communication error with RW has occurred. Press "OK" button to close the dialog)</t>
  </si>
  <si>
    <t>- Stop UWandRW_Receiver.exe.</t>
  </si>
  <si>
    <t>- Stop PrintNav</t>
  </si>
  <si>
    <t>- Start PrintNav again.
(As in step 10, the UWandRW_Receiver.exe is stop at this time).</t>
  </si>
  <si>
    <t>- Verify displaying of the RW icon.</t>
  </si>
  <si>
    <t>- Start the UWandRW_Receiver.exe</t>
  </si>
  <si>
    <t>'- Wait for the interval which is specified by keys in the TP-UW_Communication.ini file (The interval = .Status_RepeatTime + SIGNALSTATUS_TIMEOUT_JUDEGMENT_WAITTIME)
- Verify displaying of the RW icon.</t>
  </si>
  <si>
    <t>- Change value of PRINTER_COMPOSITION key to SES and then repeat the testcase.</t>
  </si>
  <si>
    <t xml:space="preserve">- Start PrintNav </t>
  </si>
  <si>
    <t>- Press START button.</t>
  </si>
  <si>
    <t>- Wait a time until a warning dialog is shown.
- Verify displaying of the warning dialog about RW status.</t>
  </si>
  <si>
    <t>- Press OK in the warning dialog to close it.</t>
  </si>
  <si>
    <t>- Start RW</t>
  </si>
  <si>
    <t xml:space="preserve">- Put a breakpoint (breakpoint_1) in CRequestUwRw::RequestQueryStatus function at line of code which right after line calls to PutStatusCannelID() function.
- Put a breakpoint (breakpoint_2) at the beginning of the CReceiveSignalStatus::ReceiveInfo function. </t>
  </si>
  <si>
    <t>- Verify trigger of the breakpoint_1.</t>
  </si>
  <si>
    <t>- Verify the content of local variable ResultData.</t>
  </si>
  <si>
    <t>- Continue running the code.
- Verify trigger of the breakpoint_2.</t>
  </si>
  <si>
    <r>
      <t>- Remove all breakpoints.
- Put a new breakpoint at beginning of CReceiveSignalStatus::ReceiveStatusInfo function.
- Continue running the code.
- Wait for the interval which is specificed in TP-UWRW_Communication.ini (</t>
    </r>
    <r>
      <rPr>
        <i/>
        <sz val="10"/>
        <rFont val="Arial"/>
        <family val="2"/>
      </rPr>
      <t>the interval = value of Status_RepeatTime key + SIGNALSTATUS_TIMEOUT_
JUDEGMENT_WAITTIME key</t>
    </r>
    <r>
      <rPr>
        <sz val="10"/>
        <rFont val="Arial"/>
        <family val="2"/>
      </rPr>
      <t>)</t>
    </r>
  </si>
  <si>
    <t>- When waiting, verify displaying of RW icon.</t>
  </si>
  <si>
    <t>- Remove the breakpoint.
- Continue running the code.</t>
  </si>
  <si>
    <t>- The breakpoint_1 is triggered.</t>
  </si>
  <si>
    <t>- The breakpoint_2 is triggered.</t>
  </si>
  <si>
    <t>- Put a breakpoint at the start of function CRequestUnwinderThread::ThreadProc (after call to PutResourceCannelID())</t>
  </si>
  <si>
    <t>- PrintNav is running.
- RW is running
- UWandRW_Receiver.exe is running
- In PrinterDescriptor.ini file, value of RW_CONNECT_FUNCTION key in OPTION section is 1</t>
  </si>
  <si>
    <t>- Stop UWandRW_Receiver.exe</t>
  </si>
  <si>
    <t>- Press OK to close the warning dialog</t>
  </si>
  <si>
    <t>- Display the warning dialog about UWandRW_Receiver.exe is terminated.</t>
  </si>
  <si>
    <t>- Wait for more than 15 seconds</t>
  </si>
  <si>
    <t xml:space="preserve">- Put a breakpoint (breakpoint_1) in CRequestUwRw::RequestQueryResource function at line of code which right after line calls to PutResourceCannelID() function.
- Put a breakpoint (breakpoint_2) at the beginning of the CReceiveSignalStatus::ReceiveInfo function </t>
  </si>
  <si>
    <t>- Verify channel ID in TP-UWRW_Communication_work.ini,
section CHANNEL_RW, key Resource_CannelID.</t>
  </si>
  <si>
    <r>
      <t>- Remove all breakpoints.
- Put a breakpoint at beginning of CReceiveSignalStatus::ReceivePaperInfo function.
- Continue running the code.
- Wait for the interval which is specificed in TP-UWRW_Communication.ini (</t>
    </r>
    <r>
      <rPr>
        <i/>
        <sz val="10"/>
        <rFont val="Arial"/>
        <family val="2"/>
      </rPr>
      <t>the interval = value of Resource_RepeatTime key + SIGNALSTATUS_TIMEOUT_
JUDEGMENT_WAITTIME key</t>
    </r>
    <r>
      <rPr>
        <sz val="10"/>
        <rFont val="Arial"/>
        <family val="2"/>
      </rPr>
      <t>)</t>
    </r>
  </si>
  <si>
    <t>- Open the print condition GUI.
- Verify value of paper thickness on the GUI.</t>
  </si>
  <si>
    <t>- Repeat step 1.
- Switch to another print condition on the print condition GUI.
- Repeat steps 3 to 11.</t>
  </si>
  <si>
    <t>- Repeat step 1
- Run some jobs.
- Repeat steps 3 to 9.</t>
  </si>
  <si>
    <t>- Exist the jobs from running state.
- Select each job in the above jobs.
- Open print condition GUI for the job.
- Verify the paper thickness value on the screen.</t>
  </si>
  <si>
    <t>- The content of the variable is a string of XJMF which contains response of QueryResource from RW.</t>
  </si>
  <si>
    <t>- The values of the parameters is same with according values on RW side (JD_UW_Test_TOOL.ini, section Response, key ChannelPaper)</t>
  </si>
  <si>
    <t>- PrintNav is running.
- RW is running
- UWandRW_Receiver.exe is running
- There are no running jobs.
- In PrinterDescriptor.ini file, value of RW_CONNECT_FUNCTION key in OPTION section is 1
- In TP-UWRW_Communication.ini file, values of following keys are:
 + Resource_RepeatTime in [CHANNEL] section: 20
 + SIGNALSTATUS_TIMEOUT_JUDEGMENT_WAITTIME in [CHANNEL] section: 5</t>
  </si>
  <si>
    <t>- Start the PrintNav.</t>
  </si>
  <si>
    <t>- Verify there is a warning message dialog displayed for update the paper thickness value from RW to the current print condition.</t>
  </si>
  <si>
    <t xml:space="preserve">- Press on "Yes" button on the message box. </t>
  </si>
  <si>
    <t>- Open the print condition GUI.
- Verify the paper thickness value of the current print condition.</t>
  </si>
  <si>
    <t>- Stop the PrintNav</t>
  </si>
  <si>
    <t>- Start the PrintNav.
- Verify there is no warning message dialog displayed for update the paper thickness value from RW to the current print condition.</t>
  </si>
  <si>
    <t>- Repeat steps 1 to 4.</t>
  </si>
  <si>
    <t>- Press on "No" button on the message box.</t>
  </si>
  <si>
    <t>- Stop the PrintNav.</t>
  </si>
  <si>
    <t>- Change the paper thickness value on RW side to it same with the current print condition.</t>
  </si>
  <si>
    <t>- Verify there is not a warning message dialog displayed for update the paper thickness value from RW to the current print condition.</t>
  </si>
  <si>
    <t>- There is no the warning message dialog displayed for update the paper thickness value from RW to the current print condition.</t>
  </si>
  <si>
    <t>- The paper thickness value is same as  expected value in step 6.</t>
  </si>
  <si>
    <t>- The value of paper thickness is not changed.</t>
  </si>
  <si>
    <t>- There is not the warning message.</t>
  </si>
  <si>
    <t>Refer to TD-002</t>
  </si>
  <si>
    <t>- PrintNav is running
- RW is running
- UWandRW_Receiver.exe is running
- In PrinterDescriptor.ini file, value of RW_CONNECT_FUNCTION key in OPTION section is 1
- In TP-UWRW_Communication.ini file, values of following keys are:
 + Resource_RepeatTime in [CHANNEL] section: 20
 + SIGNALSTATUS_TIMEOUT_JUDEGMENT_WAITTIME in [CHANNEL] section: 5
- There are 3 jobs in the Print queue folder in order from begin to end as following: Job_A, Job_B and Job_C</t>
  </si>
  <si>
    <t>- Change the paper thickness value on RW side to it different from the one of Job_A.</t>
  </si>
  <si>
    <t>- Select Job_A and then press on "Run" button to run the job.</t>
  </si>
  <si>
    <t>- Verify that there is a info message dialog displayed for update the paper thickness value from RW to Job_A.</t>
  </si>
  <si>
    <t>- Select "Yes" on the message dialog.
- Verify that the job execution is stopped.</t>
  </si>
  <si>
    <t>- Open the print condition GUI of Job_A.
- Verify value of the paper thickness of the job.</t>
  </si>
  <si>
    <t>- Change the paper thickness value of Job_A to a value different from the one on RW.</t>
  </si>
  <si>
    <t>- Repeat steps 2 and 3.</t>
  </si>
  <si>
    <t>- Select "No" on the message dialog.
- Verify that the job enters job execution status.</t>
  </si>
  <si>
    <t>- Exit Job_A from the execution status.</t>
  </si>
  <si>
    <t>- Select Job_A on the job list and then press on the "Run sequence" button to run the jobs.</t>
  </si>
  <si>
    <t>- Verify that there is a info message dialog displayed for update the paper thickness value from RW to the jobs.</t>
  </si>
  <si>
    <t>- Open the print condition GUI of the jobs.
- Verify values of the paper thickness of the jobs.</t>
  </si>
  <si>
    <t>- Repeat steps 8, 9 and 10.</t>
  </si>
  <si>
    <t>- Select "No" on the message dialog.
- Verify that the jobs enter job execution status.</t>
  </si>
  <si>
    <t>- Exit the jobs from the execution status.</t>
  </si>
  <si>
    <t>- Set the paper thickness value of Job_A to the value on the RW .</t>
  </si>
  <si>
    <t>- Verify that there is not a warning message dialog displayed for update the paper thickness value from RW to Job_A.</t>
  </si>
  <si>
    <t>- Verify that the job enters job execution status.</t>
  </si>
  <si>
    <t>- Set the paper thickness values of all the jobs to the value on the RW .</t>
  </si>
  <si>
    <t>- Select Job_A and then press on "Run sequence" button to run the jobs.</t>
  </si>
  <si>
    <t>- Verify that the jobs enter job execution status.</t>
  </si>
  <si>
    <t>- The job execution is stopped (The job is not move to the status bar)</t>
  </si>
  <si>
    <t>- The paper thickness value of the job is changed to the value on RW.</t>
  </si>
  <si>
    <t>- The job enters job execution status (It is moved to the status bar)</t>
  </si>
  <si>
    <t>- The paper thickness value of the job is not changed.</t>
  </si>
  <si>
    <t>- The job execution is stopped (Job_A is not moved to the status bar, Job_B and Job_C are not grayed out).</t>
  </si>
  <si>
    <t>- The paper thickness values of all the jobs are changed to the value on RW.</t>
  </si>
  <si>
    <t>- The jobs enter job execution status (Job_A is moved to the status bar, Job_B and Job_C are grayed out).</t>
  </si>
  <si>
    <t>- The paper thickness values of all the jobs is not changed.</t>
  </si>
  <si>
    <t>- No warning message dialog is displayed.</t>
  </si>
  <si>
    <t>- The job enters job execution status (Job_A is moved to the status bar).</t>
  </si>
  <si>
    <t>- Open the print condition GUI of Job_A.
- Verify print setting name and value of the paper thickness of the job.</t>
  </si>
  <si>
    <t>- Close the PrintNav</t>
  </si>
  <si>
    <t>- Open the PrintNav.
- Open the print condition GUI of the job.
- Verify value of the paper thickness of the job.</t>
  </si>
  <si>
    <t>- Change the paper thickness values of Job_A, Job_B and Job_C to  values which are different from the one on the RW .
(Make sure the changed values are same between the jobs to be able to run sequentially)</t>
  </si>
  <si>
    <t>- Open the print condition GUI of the jobs.
- Verify print setting name and values of the paper thickness of the jobs.</t>
  </si>
  <si>
    <t>- The paper thickness value of the job is changed to the value on RW .
  Print setting name of the job is changed to &lt;current print condition name&gt; [Edit] (&lt;job name&gt;)</t>
  </si>
  <si>
    <t>- The paper thickness value of the job is same as in expected result of step 5.</t>
  </si>
  <si>
    <t>- The paper thickness values of all the jobs are changed to the value on RW .
  Print setting name of the job is changed to &lt;current print condition name&gt; [Edit] (&lt;job name&gt;)</t>
  </si>
  <si>
    <t>- The paper thickness value of the job is same as in expected result of step 12.</t>
  </si>
  <si>
    <t>TC-301-001</t>
  </si>
  <si>
    <t>TC-302-002</t>
  </si>
  <si>
    <t>TC-402-003</t>
  </si>
  <si>
    <t>TC-402-004</t>
  </si>
  <si>
    <t>- Run testcase TC-201-001 to step 4.</t>
  </si>
  <si>
    <t>- Put a breakpoint at the end of function CRequestUwRw::RequestStopPersChParams</t>
  </si>
  <si>
    <t>- Verify trigger for the breakpoint
- Verify the value of input parameter (inStopType) in the function CRequestUwRw::RequestStopPersChParams
- Verify the value of return value (ResultData) in the function CRequestUwRw::RequestStopPersChParams</t>
  </si>
  <si>
    <t>- Continue running the code.
- Verify trigger for the breakpoint
- Verify the value of input parameter (inStopType) in the function CRequestUwRw::RequestStopPersChParams
- Verify the value of return value (ResultData) in the function CRequestUwRw::RequestStopPersChParams</t>
  </si>
  <si>
    <t>- Put a breakpoint in function CRequestUwRw::ExecuteSendToUwRw(), inside the for loop</t>
  </si>
  <si>
    <t>- Open TP-UWRW_Communication_work.ini file.
- Verify values of windable amount of paper, roll diameter and Stop roll diameter in the ini file (Value of ROLL_DIAMETER, REMAINING_AMOUNT, Stop_Roll_Diameter keys in PAPER_INFO_RW section).</t>
  </si>
  <si>
    <t>- Repeat step 1
- Change value of "Print condition name" or "Media name" or "Paper width" or "Paper windable amount" or "Paper thickness or "Tension" or "Print speed".
- Repeat steps 3 to 11.</t>
  </si>
  <si>
    <t>- Open the print condition GUI.
- Set the paper thickness value of current print condition (Refer to test data TD-003)
- Save the setting.
- Close the print condition GUI.
- Stop the PrintNav.</t>
  </si>
  <si>
    <t>- Change the paper thickness value on RW side to it different from the current print condition (Refer to test data TD-003)</t>
  </si>
  <si>
    <t>Refer to TD-003</t>
  </si>
  <si>
    <t>TD-001</t>
  </si>
  <si>
    <t xml:space="preserve">A data set includes: Value of  two keys in PrinterDescriptor.ini file, OPTION section.
- UW_CONNECT_FUNCTION
- RW_CONNECT_FUNCTION
Expected result:
- Warning message </t>
  </si>
  <si>
    <t>- The warning message is displayed with content as following:
  Message ID: 18801
  + English: The communication service program of the front and rear devices has not started.
  + Japanese: 前後装置の通信サービスプログラムが起動していません。</t>
  </si>
  <si>
    <t>TD-002</t>
  </si>
  <si>
    <t>A data set includes:
- Setting value of the paper thickness for current print condition
- Setting value of the paper thickness on RW
Expected result:
- The paper thickness value of the current print condition.</t>
  </si>
  <si>
    <t>TD-003</t>
  </si>
  <si>
    <t>TC-103-001</t>
  </si>
  <si>
    <t>TC-200-001</t>
  </si>
  <si>
    <t>Verify reflecting roll diameter, windable amount of paper and stop roll diameter from RW into TP-UWRW_Communication.ini file.</t>
  </si>
  <si>
    <t>TC-401-001</t>
  </si>
  <si>
    <t>[DEBUG] Verify delete Paper information channels when controller starts and channel IDs exist</t>
  </si>
  <si>
    <t>- Put a breakpoint at the end of function CRequestUwRwThread::ThreadProc (after call to Cleanup())</t>
  </si>
  <si>
    <t>[DEBUG]Verify existing XML output after send and receive content.</t>
  </si>
  <si>
    <t>- Put a break point (breakpoint_1) at the end of function CServer::HttpPostReceive</t>
  </si>
  <si>
    <t>- Remove all breakpoint.
- Put a new breakpoint (breakpoint_2) at the end of while loop in CSendThread::MainLoop</t>
  </si>
  <si>
    <t>- Verify trigger of the breakpoint_2.</t>
  </si>
  <si>
    <t>- The breakpoint is triggered.
- The values of the parameters is same with according values on RW side
(The input parameters and according key in JD_UW_Test_TOOL.ini file as following:
 + inDemention &lt;=&gt; "Dimension" key in "Dimension" section 
 + inMediaType &lt;=&gt; "MediaType" key in "Dimension" section
 + inRollDiameter &lt;=&gt; "RollDiameter" key in "Dimension" section
 + inThickness &lt;=&gt; "Thickness" key in "Dimension" section
 + inWeight &lt;=&gt; "Weight" key in "Dimension" section
 + inRWDancerWebTension &lt;=&gt; "RWDancerWebTension" key in "Dimension" section
 + inRWWindingTension &lt;=&gt; "RWWindingTension" key in "Dimension" section)</t>
  </si>
  <si>
    <t>- Verify trigger for the breakpoint.
- Verify the values of input parameters (inDimension, inMediaType, inRollDiameter, inThickness, inWeight, inRWDancerWebTension, inRWWindingTension)  in the CReceiveSignalStatus::ReceivePaperInfo function.</t>
  </si>
  <si>
    <t>- Set value of UW_CONNECT_FUNCTION and UW_CONNECT_FUNCTION keys in OPTION section in PrinterDescriptor.ini file (Refer to TD-001).</t>
  </si>
  <si>
    <t>TD-004</t>
  </si>
  <si>
    <t>A data set includes:
- Value of inRollDiameter variable.
Expected result:
-  Value of ROLL_DIAMETER key in PAPER_INFO_RW section in TP-UWRW_Communication_work.ini file</t>
  </si>
  <si>
    <t>Data</t>
  </si>
  <si>
    <t>Data type / Data description</t>
  </si>
  <si>
    <t>- Verify value of ROLL_DIAMETER key in PAPER_INFO_RW section in TP-UWRW_Communication_work.ini file is not changed.</t>
  </si>
  <si>
    <t>- Refer to TD-004</t>
  </si>
  <si>
    <t>[DEBUG]Verify registration for paper information notification channel while RW is running.</t>
  </si>
  <si>
    <t>[DEBUG]Verify registration for paper information notification channel while UW is running.</t>
  </si>
  <si>
    <t>- PrintNav is not start
- UW is running
- UWandRW_Receiver.exe is running
- In PrinterDescriptor.ini file, value of UW_CONNECT_FUNCTION key in OPTION section is 1
- In TP-UWRW_Communication.ini file, values of following keys are:
 + Resource_RepeatTime in [CHANNEL] section: 20
 + SIGNALSTATUS_TIMEOUT_JUDEGMENT_WAITTIME in [CHANNEL] section: 5</t>
  </si>
  <si>
    <t>- Remove all breakpoints.
- Put a breakpoint at end of CRequestUwRwThread::NotifyAndQueryResource function.
- Continue running the code.</t>
  </si>
  <si>
    <t>- Verify trigger for the breakpoint.
- Verify value of "Enable_ThicknessMeasureOP" key in STATUS_INFO_UW section of "TP-UWRW_Communication_work.ini" file.</t>
  </si>
  <si>
    <t>- Refer to TD-005</t>
  </si>
  <si>
    <t>TD-005</t>
  </si>
  <si>
    <t>A data set includes:
- Value of local variable result
Expected result:
-  Value of "Enable_ThicknessMeasureOP" key in STATUS_INFO_UW section of "TP-UWRW_Communication_work.ini" file.</t>
  </si>
  <si>
    <t>- Verify existing of log file (Refer to TD-00).</t>
  </si>
  <si>
    <t>- Stop PrintNav.
- Remove D:\TPJ_xx\Client_xx\Log\RW_CONNECT and D:\TPJ_xx\Client_xx\Log\UW_CONNECT folders if exist.</t>
  </si>
  <si>
    <t>TD-006</t>
  </si>
  <si>
    <t>- Refer to TD-006</t>
  </si>
  <si>
    <t>- Verify existing of log file (Refer to TD-006).</t>
  </si>
  <si>
    <t>- Set value for keys in TP-UWRW_Communication.ini and  PrinterDescriptor.ini files (Refer to TD-006).</t>
  </si>
  <si>
    <t>A data set includes:
- Value of keys In PrinterDescriptor.ini file:
  + UW_CONNECT_FUNCTION
  + RW_CONNECT_FUNCTION
- Value of key in TP-UWRW_Communication.ini file:
  + SIGNALSTATUS_TIMEOUT_JUDEGMENT_WAITTIME key in [CONNECTION_UW] section
  + SIGNALSTATUS_TIMEOUT_JUDEGMENT_WAITTIME key in [CONNECTION_RW] section
Expected result:
-  The log file at log file at D:\TPJ_xx\Client_xx\Log\UW_CONNECT\yyyymmdd.xml is exist.
- The log file at log file at D:\TPJ_xx\Client_xx\Log\RW_CONNECT\yyyymmdd.xml is exist.</t>
  </si>
  <si>
    <t>- PrintNav is not started
- RW is running
- UWandRW_Receiver.exe is running
- In PrinterDescriptor.ini file:
  + Value of PRINTER_COMPOSITION key is DED
- In TP-UWRW_Communication.ini file:
  + Value of Status_RepeatTime key in [CHANNEL] section is 40
  + Value of Resource_RepeatTime key in [CHANNEL] section is 20</t>
  </si>
  <si>
    <t>- Set value for keys in TP-UWRW_Communication.ini and  PrinterDescriptor.ini files (Refer to TD-007).</t>
  </si>
  <si>
    <t>- Verify the RW and UW status in file UwRwManager_work.ini</t>
  </si>
  <si>
    <t>- Refer to TD-007</t>
  </si>
  <si>
    <t>- Verify displaying of the RW and UW status icon in the status bar.</t>
  </si>
  <si>
    <t xml:space="preserve">- The translucent RW and UW icon is displayed as following:
</t>
  </si>
  <si>
    <t>TD-007</t>
  </si>
  <si>
    <t>- PrintNav is not started.
- RW does not run.
- UW does not run.
- UWandRW_Receiver.exe is running</t>
  </si>
  <si>
    <r>
      <t xml:space="preserve">- There is a warning message dialog displayed with content as following
  Message ID: 18602
 + English: </t>
    </r>
    <r>
      <rPr>
        <i/>
        <strike/>
        <sz val="10"/>
        <rFont val="Arial"/>
        <family val="2"/>
      </rPr>
      <t>(*The content is not decided yet)</t>
    </r>
    <r>
      <rPr>
        <strike/>
        <sz val="10"/>
        <rFont val="Arial"/>
        <family val="2"/>
      </rPr>
      <t xml:space="preserve">
 + Japanese: カレント印刷条件の紙厚情報を更新しますか？</t>
    </r>
  </si>
  <si>
    <r>
      <t xml:space="preserve">- There is a warning message dialog displayed with content as following:
</t>
    </r>
    <r>
      <rPr>
        <strike/>
        <sz val="10"/>
        <color indexed="10"/>
        <rFont val="Arial"/>
        <family val="2"/>
      </rPr>
      <t xml:space="preserve">  Message ID: 18603</t>
    </r>
    <r>
      <rPr>
        <strike/>
        <sz val="10"/>
        <rFont val="Arial"/>
        <family val="2"/>
      </rPr>
      <t xml:space="preserve">
 + English:</t>
    </r>
    <r>
      <rPr>
        <i/>
        <strike/>
        <sz val="10"/>
        <rFont val="Arial"/>
        <family val="2"/>
      </rPr>
      <t xml:space="preserve"> (*The content is not decided yet)</t>
    </r>
    <r>
      <rPr>
        <strike/>
        <sz val="10"/>
        <rFont val="Arial"/>
        <family val="2"/>
      </rPr>
      <t xml:space="preserve">
 + Japanese: ジョブ実行を中止し、実行対象のジョブの紙厚情報を更新しますか？</t>
    </r>
  </si>
  <si>
    <r>
      <t xml:space="preserve">- Change the paper thickness values of Job_A, Job_B and Job_C to  values which are different from the one on the RW.
</t>
    </r>
    <r>
      <rPr>
        <i/>
        <strike/>
        <sz val="10"/>
        <rFont val="Arial"/>
        <family val="2"/>
      </rPr>
      <t>(Make sure the changed values are same between the jobs to be able to run sequentially)</t>
    </r>
  </si>
  <si>
    <r>
      <t xml:space="preserve">- There is a warning message dialog displayed with content as following:
</t>
    </r>
    <r>
      <rPr>
        <strike/>
        <sz val="10"/>
        <color indexed="10"/>
        <rFont val="Arial"/>
        <family val="2"/>
      </rPr>
      <t xml:space="preserve">  Message ID: 18603</t>
    </r>
    <r>
      <rPr>
        <strike/>
        <sz val="10"/>
        <rFont val="Arial"/>
        <family val="2"/>
      </rPr>
      <t xml:space="preserve">
 + English: </t>
    </r>
    <r>
      <rPr>
        <i/>
        <strike/>
        <sz val="10"/>
        <rFont val="Arial"/>
        <family val="2"/>
      </rPr>
      <t>(*The content is not decided yet)</t>
    </r>
    <r>
      <rPr>
        <strike/>
        <sz val="10"/>
        <rFont val="Arial"/>
        <family val="2"/>
      </rPr>
      <t xml:space="preserve">
 + Japanese: ジョブ実行を中止し、実行対象のジョブの紙厚情報を更新しますか？</t>
    </r>
  </si>
  <si>
    <r>
      <t>- There is a warning message dialog displayed with content as following:
 + English:</t>
    </r>
    <r>
      <rPr>
        <i/>
        <strike/>
        <sz val="10"/>
        <rFont val="Arial"/>
        <family val="2"/>
      </rPr>
      <t xml:space="preserve"> (*The content is not decided yet)</t>
    </r>
    <r>
      <rPr>
        <strike/>
        <sz val="10"/>
        <rFont val="Arial"/>
        <family val="2"/>
      </rPr>
      <t xml:space="preserve">
 + Japanese: ジョブ実行を中止し、実行対象のジョブの紙厚情報を更新しますか？</t>
    </r>
  </si>
  <si>
    <t>TD-008</t>
  </si>
  <si>
    <t>- Create folder "UW" and "RW" to store copied of test tool.
- Set RW and UW status in file JD_UW_Test_TOOL.ini at folder "UW" and "RW" which contain file JD_UW_Test_TOOL.exe (key "Status", section "Status")</t>
  </si>
  <si>
    <t>- Verify displaying of the UW status icon in the status bar.</t>
  </si>
  <si>
    <t>- Stop RW and UW if running.</t>
  </si>
  <si>
    <t>- Refer to TD-008</t>
  </si>
  <si>
    <t xml:space="preserve">- The translucent UW icon is displayed as following:
</t>
  </si>
  <si>
    <t>- The status of UW and RW in this file is not updated.</t>
  </si>
  <si>
    <t>- The UW icon is displayed as following:</t>
  </si>
  <si>
    <t>- Verify displaying of the UW status icon in the status bar if UW_CONNECT_FUNCTION key in OPTION section at PrinterDescriptor.ini file is 1.</t>
  </si>
  <si>
    <t>- PrintNav is not started.
- RW is running
- UW is running
- UWandRW_Receiver.exe is running</t>
  </si>
  <si>
    <t>- &lt;Not updated.&gt;
- &lt;same as RW status in JD_UW_Test_TOOL.ini file (key "Status", section "Status") at "RW" folder.&gt;
- Display warning dialog with content:
  Message ID: 18604
    + Ja: RW との通信エラーが発生しました。
    + En:   A communication error with RW has occurred.
- &lt;not show&gt;</t>
  </si>
  <si>
    <t>- &lt;same as UW status in JD_UW_Test_TOOL.ini file (key "Status", section "Status") at "UW" folder.&gt;
- &lt;Not updated.&gt;
- Display warning dialog with content:
  Message ID: 18604
    + Ja: UW との通信エラーが発生しました。
    + En:   A communication error with UW has occurred.
- &lt;not show&gt;</t>
  </si>
  <si>
    <t>- &lt;same as UW status in JD_UW_Test_TOOL.ini file (key "Status", section "Status") at "UW" folder.&gt;
- &lt;same as RW status in JD_UW_Test_TOOL.ini file (key "Status", section "Status") at "RW" folder.&gt;
- Display warning dialog with content:
  Message ID: 18604
    + Ja: UW との通信エラーが発生しました。
    + En:   A communication error with UW has occurred.
- Display warning dialog with content:
  Message ID: 18604
    + Ja: RW との通信エラーが発生しました。
    + En:   A communication error with RW has occurred.</t>
  </si>
  <si>
    <t>- PrintNav is not started.
- RW is not run.
- UW is not run.
- UWandRW_Receiver.exe is running</t>
  </si>
  <si>
    <t>- Change the new RW and UW status in file JD_UW_Test_TOOL.ini at folders "UW" and "RW" which contain file JD_UW_Test_TOOL.exe</t>
  </si>
  <si>
    <t>Refer to TD-008</t>
  </si>
  <si>
    <t>- Verify channel ID in TP-UWRW_Communication_work.ini.</t>
  </si>
  <si>
    <t>- Set value for keys in TP-UWRW_Communication.ini and  PrinterDescriptor.ini files (Refer to TD-009).</t>
  </si>
  <si>
    <t>TD-009</t>
  </si>
  <si>
    <t>- Refer to TD-009</t>
  </si>
  <si>
    <r>
      <t>- Stop the UW and RW (</t>
    </r>
    <r>
      <rPr>
        <i/>
        <sz val="10"/>
        <rFont val="Arial"/>
        <family val="2"/>
      </rPr>
      <t>Stop the TestUWTool</t>
    </r>
    <r>
      <rPr>
        <sz val="10"/>
        <rFont val="Arial"/>
        <family val="2"/>
      </rPr>
      <t>).
- Wait for the interval.</t>
    </r>
  </si>
  <si>
    <t>- After the interval, verify displaying of UW icon on the PrintNav.</t>
  </si>
  <si>
    <t>- The displayed UW icon is a translucent icon as following:</t>
  </si>
  <si>
    <r>
      <t>- Verify trigger for the breakpoint.
- Verify the value of input parameters (</t>
    </r>
    <r>
      <rPr>
        <i/>
        <sz val="10"/>
        <rFont val="Arial"/>
        <family val="2"/>
      </rPr>
      <t>inStatus</t>
    </r>
    <r>
      <rPr>
        <sz val="10"/>
        <rFont val="Arial"/>
        <family val="2"/>
      </rPr>
      <t>)  in the CReceiveSignalStatus::ReceiveStatusInfo function.</t>
    </r>
  </si>
  <si>
    <t>A data set includes:
- Value of keys In PrinterDescriptor.ini file:
  + UW_CONNECT_FUNCTION
  + RW_CONNECT_FUNCTION
Expected result:
- Channel ID in TP-UWRW_Communication_work.ini, section CHANNEL_UW, key Status_CannelID.
- Channel ID in TP-UWRW_Communication_work.ini, section CHANNEL_RW, key Status_CannelID.
- Value of input parameters (inStatus)  in the CReceiveSignalStatus::ReceiveStatusInfo function of UW thread.
- Value of input parameters (inStatus)  in the CReceiveSignalStatus::ReceiveStatusInfo function of RW thread.</t>
  </si>
  <si>
    <t>- The breakpoint is triggered.
- Refer to TD-009</t>
  </si>
  <si>
    <t>- Verify displaying of UW icon on the PrintNav if UW_CONNECT_FUNCTION key in OPTION section at PrinterDescriptor.ini file is 1.</t>
  </si>
  <si>
    <t>- The content of the variable is a string of XJMF which contains response of QuerryStatus from UW and RW.</t>
  </si>
  <si>
    <t xml:space="preserve">- The displayed UW icon is a normal icon as following:
</t>
  </si>
  <si>
    <t>- PrintNav is not start
- RW is running
- UW is running
- UWandRW_Receiver.exe is running
- In TP-UWRW_Communication.ini file, values of following keys are:
 + Status_RepeatTime in [CHANNEL] section: 20
 + SIGNALSTATUS_TIMEOUT_JUDEGMENT_WAITTIME in [CHANNEL] section: 5</t>
  </si>
  <si>
    <t>- Set value for keys in TP-UWRW_Communication.ini and  PrinterDescriptor.ini files (Refer to TD-010).</t>
  </si>
  <si>
    <t>- Verify trigger for the breakpoint
'- Verify channel ID in TP-UW_Communication_work.ini,</t>
  </si>
  <si>
    <t>- The breakpoint is triggered.
- Refer to TD-010.</t>
  </si>
  <si>
    <t>TD-010</t>
  </si>
  <si>
    <t>A data set includes:
- Value of keys In PrinterDescriptor.ini file:
  + UW_CONNECT_FUNCTION
  + RW_CONNECT_FUNCTION
Expected result:
- Channel ID in TP-UW_Communication_work.ini,
section CHANNEL_UW, key Status_CannelID and Resource_CannelID.
- Channel ID in TP-UW_Communication_work.ini,
section CHANNEL_RW, key Status_CannelID and Resource_CannelID.</t>
  </si>
  <si>
    <t>- Set value for keys in TP-UWRW_Communication.ini and  PrinterDescriptor.ini files (Refer to TD-011).</t>
  </si>
  <si>
    <t>- Display the warning dialog about UW/RW status is off</t>
  </si>
  <si>
    <t xml:space="preserve">- The breakpoint is triggered.
- The value of input parameter (inStopType): E_Compose_QueryStatus (0)
- The value of return value (ResultData) have format : [SUCCESS] + response value from UW/RW </t>
  </si>
  <si>
    <t xml:space="preserve">- The breakpoint is triggered.
- The value of input parameter (inStopType): E_Compose_QueryResource (1)
- The value of return value (ResultData) have format : [SUCCESS] + response value from UW/RW </t>
  </si>
  <si>
    <t>- Refer to TD-010</t>
  </si>
  <si>
    <t>- Stop UW and RW if running.</t>
  </si>
  <si>
    <t>- Wait until the UW icon becomes translucent</t>
  </si>
  <si>
    <t>- PrintNav is running.
- RW is running
- UW is running
- UWandRW_Receiver.exe is running</t>
  </si>
  <si>
    <t>- Stop UW and RW if running</t>
  </si>
  <si>
    <t>- Verify trigger for the breakpoint
- When PrintNav is paused, start UW and RW</t>
  </si>
  <si>
    <t>- Continue running the code.
- Wait until the UW icon becomes normal</t>
  </si>
  <si>
    <t>- Clear breakpoint and stop UW and RW</t>
  </si>
  <si>
    <t>- Refer to TD-011.</t>
  </si>
  <si>
    <t>TD-011</t>
  </si>
  <si>
    <t>- PrintNav is running.
- RW is running
- UW is running
- UWandRW_Receiver.exe is running
- In TP-UWRW_Communication.ini, SEND_RETRY_COUNT = 3, SEND_RETRY_INTERVAL=5000</t>
  </si>
  <si>
    <t>A data set includes:
- Value of keys In PrinterDescriptor.ini file:
  + UW_CONNECT_FUNCTION
  + RW_CONNECT_FUNCTION
Expected result:
- Content in Log\Log.html</t>
  </si>
  <si>
    <t>- The content of the variable is a string of XJMF which contains response of QueryResource from UW/RW.</t>
  </si>
  <si>
    <t>TD-012</t>
  </si>
  <si>
    <t>- Change the values of roll diameter and windable/remaining amount of paper on UW side
* In case of using the test tool, press on "Automatic paper info notification" button and then change values of following keys in JD_UW_Test_TOOL.ini on RW side:
 + "Dimension" key in "Dimension" section
 + "RollDiameter" key in "Dimension" section
 + "StopRollDiameter" key in "Dimension" section
(Refer to test data TD-002)</t>
  </si>
  <si>
    <t>- Wait for the interval.
- Open TP-UWRW_Communication_work.ini file and verify values of ROLL_DIAMETER, REMAINING_AMOUNT and Stop_Roll_Diameter keys.</t>
  </si>
  <si>
    <t>A data set includes:
- Value of keys In PrinterDescriptor.ini file:
  + UW_CONNECT_FUNCTION
  + RW_CONNECT_FUNCTION
- Values of keys in JD_UW_Test_TOOL.ini file at "UW" folder:
 + Second value in "Dimension" key in "Dimension" section
 + "RollDiameter" key in "Dimension" section
 + "StopRollDiameter" key in "Demension" section
- Values of keys in JD_UW_Test_TOOL.ini file at "RW" folder:
 + Second value in "Dimension" key in "Dimension" section
 + "RollDiameter" key in "Dimension" section
 + "StopRollDiameter" key in "Demension" section
Expected result:
- Values of ROLL_DIAMETER, REMAINING_AMOUNT and Stop_Roll_Diameter keys in PAPER_INFO_UW section in TP-UWRW_Communication_work.ini file.
- Values of ROLL_DIAMETER, REMAINING_AMOUNT and Stop_Roll_Diameter keys in PAPER_INFO_RW section in TP-UWRW_Communication_work.ini file.</t>
  </si>
  <si>
    <t>- Set value for keys in TP-UWRW_Communication.ini and  PrinterDescriptor.ini files (Refer to TD-002).</t>
  </si>
  <si>
    <t>- PrintNav is running
- RW is running
- UW is running
- UWandRW_Receiver.exe is running
- There are no running jobs.
- In TP-UWRW_Communication.ini file, values of following keys are:
 + Resource_RepeatTime in [CHANNEL] section: 20
 + SIGNALSTATUS_TIMEOUT_JUDEGMENT_WAITTIME in [CHANNEL] section: 5</t>
  </si>
  <si>
    <t>- Verify trigger for the breakpoint
'- Verify channel ID in TP-UW_Communication_work.ini.</t>
  </si>
  <si>
    <t>- PrintNav is not running.
- In TP-UWRW_Communication_work.ini,
section CHANNEL_RW, key Status_CannelID and Resource_CannelID have values</t>
  </si>
  <si>
    <t>- Set value for keys in TP-UWRW_Communication.ini and  PrinterDescriptor.ini files (Refer to TD-012).</t>
  </si>
  <si>
    <t>- Refer to TD-012</t>
  </si>
  <si>
    <r>
      <t xml:space="preserve">- The value is same with value on the UW/RW </t>
    </r>
    <r>
      <rPr>
        <i/>
        <sz val="10"/>
        <rFont val="Arial"/>
        <family val="2"/>
      </rPr>
      <t>(value of "Thickness" key in "Media" section of JD_UW_Test_TOOL.ini file).</t>
    </r>
  </si>
  <si>
    <t>- Open TP-UWRW_Communication_work.ini file.
- Verify values of windable/remaining amount of paper, roll diameter and Stop roll diameter in the ini file.</t>
  </si>
  <si>
    <t>A data set includes:
- Value of keys In PrinterDescriptor.ini file:
  + UW_CONNECT_FUNCTION
  + RW_CONNECT_FUNCTION
Expected result:
- Channel ID in TP-UWRW_Communication_work.ini, section CHANNEL_UW, key Resource_CannelID..
- Channel ID in TP-UWRW_Communication_work.ini, section CHANNEL_RW, key Resource_CannelID.
- Value of input parameters at UW thread.
- Value of input parameters at RW thread.
- Value of ROLL_DIAMETER, REMAINING_AMOUNT, Stop_Roll_Diameter keys in PAPER_INFO_UW section in TP-UWRW_Communication_work.ini file.
- Value of ROLL_DIAMETER, REMAINING_AMOUNT, Stop_Roll_Diameter keys in PAPER_INFO_RW section in TP-UWRW_Communication_work.ini file.</t>
  </si>
  <si>
    <t>- &lt;Same with according values on UW side(JD_UW_Test_TOOL.ini, section Response, key ChannelPaper) at "UW" folder.&gt;
- &lt;Empty&gt;
- The values of the parameters is same with according values on UW side
(The input parameters and according key in JD_UW_Test_TOOL.ini file as following:
 + inDemention &lt;=&gt; "Dimension" key in "Dimension" section 
 + inMediaType &lt;=&gt; "MediaType" key in "Dimension" section
 + inRollDiameter &lt;=&gt; "RollDiameter" key in "Dimension" section
 + inThickness &lt;=&gt; "Thickness" key in "Dimension" section
 + inWeight &lt;=&gt; "Weight" key in "Dimension" section
 + inUWDancerWebTension &lt;=&gt; "UWDancerWebTension" key in "Dimension" section
- &lt;Empty&gt;
- The values are same with value on the UW.
(+ Remaining amount of paper &lt;=&gt; second number in "Dimension" key in "Media" section of the ini file.
 + Roll diameter &lt;=&gt; "src:RollDiameter" key in "Media" section
 + Stop roll diameter &lt;=&gt; "src:StopRollDiameter" key in "Media" section).
- &lt;Empty&gt;</t>
  </si>
  <si>
    <t>- &lt;Same with according values on UW side(JD_UW_Test_TOOL.ini, section Response, key ChannelPaper) at "UW" folder.&gt;
- &lt;Same with according values on UW side(JD_UW_Test_TOOL.ini, section Response, key ChannelPaper) at "RW" folder.&gt;
- The values of the parameters is same with according values on UW side
(The input parameters and according key in JD_UW_Test_TOOL.ini file as following:
 + inDemention &lt;=&gt; "Dimension" key in "Dimension" section 
 + inMediaType &lt;=&gt; "MediaType" key in "Dimension" section
 + inRollDiameter &lt;=&gt; "RollDiameter" key in "Dimension" section
 + inThickness &lt;=&gt; "Thickness" key in "Dimension" section
 + inWeight &lt;=&gt; "Weight" key in "Dimension" section
 + inUWDancerWebTension &lt;=&gt; "UWDancerWebTension" key in "Dimension" section
- The values of the parameters is same with according values on RW side
(The input parameters and according key in JD_UW_Test_TOOL.ini file as following:
 + inDemention &lt;=&gt; "Dimension" key in "Dimension" section 
 + inMediaType &lt;=&gt; "MediaType" key in "Dimension" section
 + inRollDiameter &lt;=&gt; "RollDiameter" key in "Dimension" section
 + inThickness &lt;=&gt; "Thickness" key in "Dimension" section
 + inWeight &lt;=&gt; "Weight" key in "Dimension" section
 + inRWDancerWebTension &lt;=&gt; "RWDancerWebTension" key in "Dimension" section
 + inRWWindingTension &lt;=&gt; "RWWindingTension" key in "Dimension" section)
- The values are same with value on the UW.
(+ Remaining amount of paper &lt;=&gt; second number in "Dimension" key in "Media" section of the ini file.
 + Roll diameter &lt;=&gt; "src:RollDiameter" key in "Media" section
 + Stop roll diameter &lt;=&gt; "src:StopRollDiameter" key in "Media" section).
- The values are same with value on the UW.
(+ Windable amount of paper &lt;=&gt; second number in "Dimension" key in "Media" section of the ini file.
 + Roll diameter &lt;=&gt; "src:RollDiameter" key in "Media" section
 + Stop roll diameter &lt;=&gt; "src:StopRollDiameter" key in "Media" section).</t>
  </si>
  <si>
    <t>- &lt;Empty&gt;
- &lt;Same with according values on UW side(JD_UW_Test_TOOL.ini, section Response, key ChannelPaper) at "RW" folder.&gt;
- &lt;Empty&gt;
- The values of the parameters is same with according values on RW side
(The input parameters and according key in JD_UW_Test_TOOL.ini file as following:
 + inDemention &lt;=&gt; "Dimension" key in "Dimension" section 
 + inMediaType &lt;=&gt; "MediaType" key in "Dimension" section
 + inRollDiameter &lt;=&gt; "RollDiameter" key in "Dimension" section
 + inThickness &lt;=&gt; "Thickness" key in "Dimension" section
 + inWeight &lt;=&gt; "Weight" key in "Dimension" section
 + inRWDancerWebTension &lt;=&gt; "RWDancerWebTension" key in "Dimension" section
 + inRWWindingTension &lt;=&gt; "RWWindingTension" key in "Dimension" section)
- &lt;Empty&gt;
- The values are same with value on the UW.
(+ Windable amount of paper &lt;=&gt; second number in "Dimension" key in "Media" section of the ini file.
 + Roll diameter &lt;=&gt; "src:RollDiameter" key in "Media" section
 + Stop roll diameter &lt;=&gt; "src:StopRollDiameter" key in "Media" section).</t>
  </si>
  <si>
    <t>- Open TP-UWRW_Communication_work.ini file.
- Verify values of windable/ remaining amount of paper, roll diameter and Stop roll diameter in the ini file.</t>
  </si>
  <si>
    <t>- PrintNav is not start
- RW is running
- UW is running
- UWandRW_Receiver.exe is running
- In TP-UWRW_Communication.ini file, values of following keys are:
 + Resource_RepeatTime in [CHANNEL] section: 20
 + SIGNALSTATUS_TIMEOUT_JUDEGMENT_WAITTIME in [CHANNEL] section: 5</t>
  </si>
  <si>
    <r>
      <t>- Remove all breakpoints.
- Put a breakpoint at beginning of CReceiveSignalStatus::ReceivePaperInfo function.
- Continue running the code.
- Wait for the interval which is specificed in TP-UWRW_Communication.ini (</t>
    </r>
    <r>
      <rPr>
        <i/>
        <strike/>
        <sz val="10"/>
        <rFont val="Arial"/>
        <family val="2"/>
      </rPr>
      <t>the interval = value of Resource_RepeatTime key + SIGNALSTATUS_TIMEOUT_
JUDEGMENT_WAITTIME key</t>
    </r>
    <r>
      <rPr>
        <strike/>
        <sz val="10"/>
        <rFont val="Arial"/>
        <family val="2"/>
      </rPr>
      <t>)</t>
    </r>
  </si>
  <si>
    <r>
      <t xml:space="preserve">- The value is same with value on the RW </t>
    </r>
    <r>
      <rPr>
        <i/>
        <strike/>
        <sz val="10"/>
        <rFont val="Arial"/>
        <family val="2"/>
      </rPr>
      <t>(value of "Thickness" key in "Media" section of JD_UW_Test_TOOL.ini file)</t>
    </r>
    <r>
      <rPr>
        <strike/>
        <sz val="10"/>
        <rFont val="Arial"/>
        <family val="2"/>
      </rPr>
      <t>.</t>
    </r>
  </si>
  <si>
    <r>
      <t xml:space="preserve">- The values are same with value on the RW.
</t>
    </r>
    <r>
      <rPr>
        <i/>
        <strike/>
        <sz val="10"/>
        <rFont val="Arial"/>
        <family val="2"/>
      </rPr>
      <t>(+ Windable amount of paper &lt;=&gt; second number in "Dimension" key in "Media" section of the ini file.
 + Roll diameter &lt;=&gt; "src:RollDiameter" key in "Media" section
 + Stop roll diameter &lt;=&gt; "src:StopRollDiameter" key in "Media" section).</t>
    </r>
  </si>
  <si>
    <r>
      <t xml:space="preserve">- The value is same with value on the RW </t>
    </r>
    <r>
      <rPr>
        <i/>
        <strike/>
        <sz val="10"/>
        <rFont val="Arial"/>
        <family val="2"/>
      </rPr>
      <t>(value of "Thickness" key in "Media" section of JD_UW_Test_TOOL.ini file).</t>
    </r>
  </si>
  <si>
    <r>
      <t xml:space="preserve">- The values are same with value on the RW.
</t>
    </r>
    <r>
      <rPr>
        <i/>
        <strike/>
        <sz val="10"/>
        <rFont val="Arial"/>
        <family val="2"/>
      </rPr>
      <t>(+ Remaining amount of paper &lt;=&gt; second number in "Dimension" key in "Media" section of the ini file.
 + Roll diameter &lt;=&gt; "RollDiameter" key in "Media" section
 + Stop roll diameter &lt;=&gt; "StopRollDiameter" key in "Media" section).</t>
    </r>
  </si>
  <si>
    <t>17/01/2023</t>
  </si>
  <si>
    <t>Revision: 1.1</t>
  </si>
  <si>
    <t>- PrintNav is not started
- UW is running
- UWandRW_Receiver.exe is running
- In PrinterDescriptor.ini file:
  + Value of UW_CONNECT_FUNCTION key in OPTION section is 1
  + Value of PRINTER_COMPOSITION key is DED
- In TP-UWRW_Communication.ini file:
  + Value of Status_RepeatTime key in [CHANNEL] section is 40
  + Value of Resource_RepeatTime key in [CHANNEL] section is 20
  + Value of SIGNALSTATUS_TIMEOUT_JUDEGMENT_WAITTIME key in [CONNECTION_RW] section is 15</t>
  </si>
  <si>
    <t>*Note:
Because there is no UW in our environment, so we use a TestUWTool to simulate for the opreation of UW when testing.</t>
  </si>
  <si>
    <t>- Make sure the warning message and the UW icon are not overlapped.
- Verify displaying of the UW icon.</t>
  </si>
  <si>
    <t xml:space="preserve">- The UW icon is displayed as following:
</t>
  </si>
  <si>
    <t xml:space="preserve">- Create some more warning message to it overlap with the UW icon.
- Verify displaying of the UW icon.
</t>
  </si>
  <si>
    <t>- Resolve some warnings so it doesn't overlap the UW icon.
- Verify displaying of the warnings and the RW icon on the status bar.</t>
  </si>
  <si>
    <t>- Set paper remaining amount on the UW .</t>
  </si>
  <si>
    <t>- The displayed value of the paper remaining amount on status bar is same as the value on the UW .</t>
  </si>
  <si>
    <t>- Stop the UW.</t>
  </si>
  <si>
    <t>- Wait for an interval which is summary of the interval which is specified in "Status_RepeatTime" key and SIGNALSTATUS_TIMEOUT_
JUDEGMENT_WAITTIME key in the TP-UWRW_Communication.ini file.
- Verify displaying of the UW icon.
(When waiting, there will be a warning message dialog displayed to inform that a communication error with RW has occurred. Press "OK" button to close the dialog)</t>
  </si>
  <si>
    <t>- Start the UW again.
- Wait for an interval which is specificed in SEND_RETRY_INTERVAL key of TP-UWRW_Communication.ini file.
- Verify displaying of the UW icon.</t>
  </si>
  <si>
    <t xml:space="preserve">- The translucent UW icon is displayed.
</t>
  </si>
  <si>
    <t>- Stop the PrintNav
- Stop the UW .</t>
  </si>
  <si>
    <t>- Start the PrintNav.
- Verify displaying of the UW icon before and after the interval which is multiplication of value of SEND_RETRY_INTERVAL key and SEND_RETRY_COUNT key in the TP-UWRW_Communication.ini file.</t>
  </si>
  <si>
    <t xml:space="preserve">- The translucent UW icon is displayed  for both times as following:
</t>
  </si>
  <si>
    <t>- Delete testcase 402-001, 402-002, 402-003, 402-004.
- Update testcase 103-001,  201-001, 201-002, 201-003, 300-001, 301-001, 302-001, 302-002, 302-003, 400-001, 400-002, 401-001.</t>
  </si>
  <si>
    <t>Verify displaying of UW icon and paper remaining amount .</t>
  </si>
  <si>
    <t>+ 1
+ 0
+ 15
+ 15</t>
  </si>
  <si>
    <t>+ 0
+ 1
+ 15
+ 15</t>
  </si>
  <si>
    <t>+ 1
+ 1
+ 15
+ 15</t>
  </si>
  <si>
    <t>+ 1
+ 0</t>
  </si>
  <si>
    <t>+ 0
+ 1</t>
  </si>
  <si>
    <t>+ 1
+ 1</t>
  </si>
  <si>
    <t>+ 1
+ 0
+ 300.00
+ 1000
+ 10.00
+ &lt;any&gt;
+ &lt;any&gt;
+ &lt;any&gt;</t>
  </si>
  <si>
    <t>+ 0
+ 1
+ &lt;any&gt;
+ &lt;any&gt;
+ &lt;any&gt;
+ 300.00
+ 1000
+ 10.00</t>
  </si>
  <si>
    <t>+ 1
+ 1
+ 300.00
+ 1000
+ 10.00
+ 300.00
+ 1000
+ 10.00</t>
  </si>
  <si>
    <t>+ 0.11
+ 0.12</t>
  </si>
  <si>
    <t>+ 0.12</t>
  </si>
  <si>
    <t>+ 0.15
+ 0.13</t>
  </si>
  <si>
    <t>+ 0.13</t>
  </si>
  <si>
    <t>+ &lt;There is not changed&gt;</t>
  </si>
  <si>
    <t>+ 100</t>
  </si>
  <si>
    <t>+ "0"</t>
  </si>
  <si>
    <t>+ 1</t>
  </si>
  <si>
    <t>+ &lt;other than "0"&gt;</t>
  </si>
  <si>
    <t>+ 0</t>
  </si>
  <si>
    <t>+ &lt;Yes&gt;
+ &lt;No&gt;</t>
  </si>
  <si>
    <t>+ &lt;No&gt;
+ &lt;Yes&gt;</t>
  </si>
  <si>
    <t>+ &lt;Yes&gt;
+ &lt;Yes&gt;</t>
  </si>
  <si>
    <t>+ &lt;Not update&gt;
+ &lt;Not update&gt;</t>
  </si>
  <si>
    <t>+ 300.00
+ 1000
+10.00
+ &lt;Not change&gt;
+ &lt;Not change&gt;
+ &lt;Not change&gt;</t>
  </si>
  <si>
    <t>+ &lt;Not change&gt;
+ &lt;Not change&gt;
+ &lt;Not change&gt;
+ 300.00
+ 1000
+ 10.00</t>
  </si>
  <si>
    <t>+ 300.00
+ 1000
+ 10.00
+ 300.00
+ 1000
+ 10.00</t>
  </si>
  <si>
    <t>+ There should be 3 debug log like that, with log time 5+x seconds apart (x is HTTP request timeout)</t>
  </si>
  <si>
    <t>+ There should be 6 debug log like that, with log time 5+x seconds apart (x is HTTP request timeout)</t>
  </si>
  <si>
    <t>+ Both values are empty
+ &lt;not change&gt;</t>
  </si>
  <si>
    <t>+ &lt;not change&gt;
+ Both values are empty</t>
  </si>
  <si>
    <t>+ Both values are empty
+ Both values are empty</t>
  </si>
  <si>
    <t>+ &lt;Same with according values on UW side (JD_UW_Test_TOOL.ini, section Response, key ChannelStatus) at "UW" folder.&gt;
+ &lt;empty&gt;
+ &lt;Same with according values on UW side (value of "Status" key in "Status" section of JD_UW_Test_TOOL.ini file) at "UW" folder&gt;
+ &lt;empty&gt;</t>
  </si>
  <si>
    <t>A data set includes:
- Value of keys In PrinterDescriptor.ini file:
  + UW_CONNECT_FUNCTION
  + RW_CONNECT_FUNCTION
Expected result:
-  Status of UW in Status key in STATUS_INFO_UW section at TP-UWRW_Communication_work.ini file.
-  Status of RW in Status key in STATUS_INFO_RW section at TP-UWRW_Communication_work.ini file.</t>
  </si>
  <si>
    <t>- Set value for keys PrinterDescriptor.ini file (Refer to TD-008).</t>
  </si>
  <si>
    <t>- Verify the RW and UW status in file TP-UWRW_Communication_work.ini (key "Status" , section "STATUS_INFO_UW/STATUS_INFO_RW").</t>
  </si>
  <si>
    <t>- Verify the UW and RW status in file TP-UWRW_Communication_work.ini (key "Status" , section "STATUS_INFO_UW/STATUS_INFO_RW").</t>
  </si>
  <si>
    <t>A data set includes:
- Value of keys In PrinterDescriptor.ini file:
  + UW_CONNECT_FUNCTION
  + RW_CONNECT_FUNCTION
Expected result:
- The UW status in file TP-UWRW_Communication_work.ini (key "Status" , section "STATUS_INFO_UW/STATUS_INFO_RW")
-  The RW status in fileTP-UWRW_Communication_work.ini (key "Status" , section "STATUS_INFO_UW/STATUS_INFO_RW")
- Display warning dialog when UW stopped.
- Display warning dialog when RW stopped.</t>
  </si>
  <si>
    <t>- Change the new RW and UW status in file JD_UW_Test_TOOL.ini at folders "UW" and "RW" which contain file JD_UW_Test_TOOL.exe (key "Status", section "Status").</t>
  </si>
  <si>
    <t>- Verify the UW and RW status in file TP-UWRW_Communication_work.ini (key "Status" , section "STATUS_INFO_UW/STATUS_INFO_RW")</t>
  </si>
  <si>
    <t>+ &lt;empty&gt;
+ &lt;Same with according values on RW side (JD_UW_Test_TOOL.ini, section Response, key ChannelStatus) at "RW" folder.&gt;
+ &lt;empty&gt;
+ &lt;Same with according values on RW side (value of "Status" key in "Status" section of JD_UW_Test_TOOL.ini file) at "RW" folder&gt;</t>
  </si>
  <si>
    <t>+ &lt;Same with according values on UW side (JD_UW_Test_TOOL.ini, section Response, key ChannelStatus) at "UW" folder.&gt;
+ &lt;Same with according values on RW side (JD_UW_Test_TOOL.ini, section Response, key ChannelStatus) at "RW" folder.&gt;
+  &lt;Same with according values on UW side (value of "Status" key in "Status" section of JD_UW_Test_TOOL.ini file) at "UW" folder&gt;
+ &lt;Same with according values on RW side (value of "Status" key in "Status" section of JD_UW_Test_TOOL.ini file) at "RW" folder&gt;</t>
  </si>
  <si>
    <t>- PrintNav is not running.
- RW is not running
- UW is not running
- UWandRW_Receiver.exe is running
- In PrinterDescriptor.ini file, value of RW_CONNECT_FUNCTION key in OPTION section is 1
- In TP-UWRW_Communication_work.ini,
section CHANNEL_UW, key Status_CannelID and Resource_CannelID have values
section CHANNEL_RW, key Status_CannelID and Resource_CannelID have values</t>
  </si>
  <si>
    <t>- Set value for keys in PrinterDescriptor.ini file (Refer to TD-010).</t>
  </si>
  <si>
    <t>- Check Log\Log.html, find debug log "[CXmlSender::Doit] HttpSendRequest ERROR"</t>
  </si>
  <si>
    <r>
      <t xml:space="preserve">- The value is same with value on the UW/RW </t>
    </r>
    <r>
      <rPr>
        <i/>
        <strike/>
        <sz val="10"/>
        <rFont val="Arial"/>
        <family val="2"/>
      </rPr>
      <t>(value of "Thickness" key in "Media" section of JD_UW_Test_TOOL.ini file)</t>
    </r>
    <r>
      <rPr>
        <strike/>
        <sz val="10"/>
        <rFont val="Arial"/>
        <family val="2"/>
      </rPr>
      <t>.</t>
    </r>
  </si>
  <si>
    <t>- Verify trigger for the breakpoint.
- Verify the values of input parameters (inDimension, inMediaType, inRollDiameter, inThickness, inWeight, inStopRollDiameter, inUWWebTension, inRWWebTension, inRWRollTension)  in the CReceiveSignalStatus::ReceivePaperInfo function.</t>
  </si>
  <si>
    <t>- The breakpoint is triggered.
- The values of the parameters is same with according values on RW side
(The input parameters and according key in JD_UW_Test_TOOL.ini file as following:
 + inDemention &lt;=&gt; "Dimension" key in "Media" section 
 + inMediaType &lt;=&gt; "MediaType" key in "Media" section
 + inRollDiameter &lt;=&gt; "RollDiameter" key in "Media" section
 + inThickness &lt;=&gt; "Thickness" key in "Media" section
 + inWeight &lt;=&gt; "Weight" key in "Media" section
 + inStopRollDiameter &lt;=&gt; "&lt;StopRollDiameter&gt;" key in "&lt;Media&gt;" section
 + inUWWebTension &lt;=&gt; "&lt;UWWebTension&gt;" key in "&lt;Media&gt;" section)
 + inRWWebTension &lt;=&gt; "&lt;RWWebTension&gt;" key in "&lt;Media&gt;" section)
 + inRWRollTension &lt;=&gt; "&lt;RWRollTension&gt;" key in "&lt;Media&gt;" section)</t>
  </si>
  <si>
    <t>Son Le</t>
  </si>
  <si>
    <t>P</t>
  </si>
  <si>
    <t>F</t>
  </si>
  <si>
    <t>Some information cannot be received from UW/RW because JD_UW_Test_TOOL.exe cannot send.</t>
  </si>
  <si>
    <t>Thanh Do</t>
  </si>
  <si>
    <t>18/01/2023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</si>
</sst>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8" formatCode="#,##0;\-#,##0;\-"/>
    <numFmt numFmtId="169" formatCode="0.0%"/>
    <numFmt numFmtId="170" formatCode="0.0"/>
    <numFmt numFmtId="171" formatCode="mmm\-dd\-yy"/>
  </numFmts>
  <fonts count="94">
    <font>
      <sz val="10"/>
      <name val="Arial"/>
      <family val="2"/>
    </font>
    <font>
      <b/>
      <sz val="10"/>
      <color indexed="9"/>
      <name val="Arial"/>
      <family val="2"/>
    </font>
    <font>
      <sz val="10"/>
      <color indexed="63"/>
      <name val="Arial"/>
      <family val="2"/>
    </font>
    <font>
      <sz val="10"/>
      <color indexed="56"/>
      <name val="Arial"/>
      <family val="2"/>
    </font>
    <font>
      <b/>
      <sz val="20"/>
      <color indexed="56"/>
      <name val="Times New Roman"/>
      <family val="1"/>
    </font>
    <font>
      <b/>
      <sz val="20"/>
      <color indexed="56"/>
      <name val="Arial"/>
      <family val="2"/>
    </font>
    <font>
      <b/>
      <sz val="10"/>
      <name val="Arial"/>
      <family val="2"/>
    </font>
    <font>
      <b/>
      <u/>
      <sz val="10"/>
      <color indexed="9"/>
      <name val="Arial"/>
      <family val="2"/>
    </font>
    <font>
      <sz val="10"/>
      <color indexed="10"/>
      <name val="Arial"/>
      <family val="2"/>
    </font>
    <font>
      <b/>
      <u/>
      <sz val="10"/>
      <color indexed="56"/>
      <name val="Arial"/>
      <family val="2"/>
    </font>
    <font>
      <u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2"/>
      <name val="Arial"/>
      <family val="2"/>
    </font>
    <font>
      <sz val="14"/>
      <color indexed="38"/>
      <name val="Arial"/>
      <family val="2"/>
    </font>
    <font>
      <b/>
      <sz val="14"/>
      <name val="Arial"/>
      <family val="2"/>
    </font>
    <font>
      <i/>
      <sz val="14"/>
      <color indexed="38"/>
      <name val="Arial"/>
      <family val="2"/>
    </font>
    <font>
      <sz val="10"/>
      <color indexed="38"/>
      <name val="Arial"/>
      <family val="2"/>
    </font>
    <font>
      <b/>
      <u/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10"/>
      <name val="Tahoma"/>
      <family val="2"/>
      <charset val="128"/>
    </font>
    <font>
      <sz val="10"/>
      <name val="Tahoma"/>
      <family val="2"/>
      <charset val="128"/>
    </font>
    <font>
      <sz val="22"/>
      <name val="Arial"/>
      <family val="2"/>
    </font>
    <font>
      <sz val="10"/>
      <name val="Times New Roman"/>
      <family val="1"/>
    </font>
    <font>
      <sz val="8"/>
      <color indexed="18"/>
      <name val="Times New Roman"/>
      <family val="1"/>
    </font>
    <font>
      <sz val="24"/>
      <color indexed="56"/>
      <name val="Times New Roman"/>
      <family val="1"/>
    </font>
    <font>
      <sz val="18"/>
      <name val="Times New Roman"/>
      <family val="1"/>
    </font>
    <font>
      <b/>
      <sz val="12"/>
      <color indexed="56"/>
      <name val="Arial"/>
      <family val="2"/>
    </font>
    <font>
      <b/>
      <sz val="10"/>
      <name val="Times New Roman"/>
      <family val="1"/>
    </font>
    <font>
      <sz val="10"/>
      <color indexed="56"/>
      <name val="Times New Roman"/>
      <family val="1"/>
    </font>
    <font>
      <i/>
      <sz val="11"/>
      <color indexed="12"/>
      <name val="Arial Narrow"/>
      <family val="2"/>
    </font>
    <font>
      <sz val="11"/>
      <color indexed="63"/>
      <name val="Calibri"/>
      <family val="2"/>
    </font>
    <font>
      <sz val="11"/>
      <color indexed="38"/>
      <name val="ＭＳ Ｐゴシック"/>
      <family val="3"/>
      <charset val="128"/>
    </font>
    <font>
      <sz val="10"/>
      <name val="ＭＳ 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62"/>
      <name val="Calibri"/>
      <family val="2"/>
    </font>
    <font>
      <sz val="11"/>
      <color indexed="9"/>
      <name val="ＭＳ Ｐゴシック"/>
      <family val="3"/>
      <charset val="128"/>
    </font>
    <font>
      <sz val="11"/>
      <color indexed="60"/>
      <name val="Calibri"/>
      <family val="2"/>
    </font>
    <font>
      <b/>
      <sz val="11"/>
      <color indexed="58"/>
      <name val="Calibri"/>
      <family val="2"/>
    </font>
    <font>
      <sz val="11"/>
      <color indexed="58"/>
      <name val="Calibri"/>
      <family val="2"/>
    </font>
    <font>
      <sz val="11"/>
      <color indexed="52"/>
      <name val="Calibri"/>
      <family val="2"/>
    </font>
    <font>
      <sz val="11"/>
      <color indexed="21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63"/>
      <name val="Calibri"/>
      <family val="2"/>
    </font>
    <font>
      <b/>
      <sz val="11"/>
      <color indexed="56"/>
      <name val="ＭＳ Ｐゴシック"/>
      <family val="3"/>
      <charset val="128"/>
    </font>
    <font>
      <b/>
      <sz val="13"/>
      <color indexed="62"/>
      <name val="Calibri"/>
      <family val="2"/>
    </font>
    <font>
      <sz val="11"/>
      <color indexed="53"/>
      <name val="Calibri"/>
      <family val="2"/>
    </font>
    <font>
      <sz val="11"/>
      <color indexed="62"/>
      <name val="ＭＳ Ｐゴシック"/>
      <family val="3"/>
      <charset val="128"/>
    </font>
    <font>
      <b/>
      <sz val="10"/>
      <name val="MS Sans Serif"/>
      <family val="2"/>
    </font>
    <font>
      <b/>
      <sz val="11"/>
      <color indexed="62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sz val="18"/>
      <color indexed="62"/>
      <name val="Cambria"/>
      <family val="1"/>
    </font>
    <font>
      <sz val="11"/>
      <color indexed="9"/>
      <name val="Calibri"/>
      <family val="2"/>
    </font>
    <font>
      <u/>
      <sz val="11"/>
      <color indexed="12"/>
      <name val="Calibri"/>
      <family val="2"/>
    </font>
    <font>
      <sz val="11"/>
      <color indexed="17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1"/>
      <color indexed="19"/>
      <name val="Calibri"/>
      <family val="2"/>
    </font>
    <font>
      <sz val="11"/>
      <color indexed="5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4"/>
      <name val="ＭＳ 明朝"/>
      <family val="1"/>
      <charset val="128"/>
    </font>
    <font>
      <sz val="11"/>
      <name val="ＭＳ Ｐゴシック"/>
      <family val="3"/>
      <charset val="128"/>
    </font>
    <font>
      <b/>
      <sz val="11"/>
      <color indexed="52"/>
      <name val="Calibri"/>
      <family val="2"/>
    </font>
    <font>
      <sz val="11"/>
      <color indexed="10"/>
      <name val="ＭＳ Ｐゴシック"/>
      <family val="3"/>
      <charset val="128"/>
    </font>
    <font>
      <sz val="11"/>
      <color indexed="10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ＭＳ Ｐゴシック"/>
      <family val="3"/>
      <charset val="128"/>
    </font>
    <font>
      <sz val="11"/>
      <color indexed="20"/>
      <name val="Calibri"/>
      <family val="2"/>
    </font>
    <font>
      <b/>
      <sz val="13"/>
      <color indexed="56"/>
      <name val="ＭＳ Ｐゴシック"/>
      <family val="3"/>
      <charset val="128"/>
    </font>
    <font>
      <i/>
      <sz val="11"/>
      <color indexed="23"/>
      <name val="Calibri"/>
      <family val="2"/>
    </font>
    <font>
      <sz val="11"/>
      <color indexed="16"/>
      <name val="Calibri"/>
      <family val="2"/>
    </font>
    <font>
      <sz val="10"/>
      <color indexed="21"/>
      <name val="Arial"/>
      <family val="2"/>
    </font>
    <font>
      <b/>
      <sz val="11"/>
      <color indexed="9"/>
      <name val="Calibri"/>
      <family val="2"/>
    </font>
    <font>
      <b/>
      <sz val="15"/>
      <color indexed="62"/>
      <name val="Calibri"/>
      <family val="2"/>
    </font>
    <font>
      <b/>
      <sz val="11"/>
      <name val="Arial"/>
      <family val="2"/>
    </font>
    <font>
      <b/>
      <sz val="11"/>
      <color indexed="52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38"/>
      <name val="ＭＳ Ｐゴシック"/>
      <family val="3"/>
      <charset val="128"/>
    </font>
    <font>
      <b/>
      <sz val="11"/>
      <color indexed="21"/>
      <name val="ＭＳ Ｐゴシック"/>
      <family val="3"/>
      <charset val="128"/>
    </font>
    <font>
      <sz val="9"/>
      <name val="Times New Roman"/>
      <family val="1"/>
    </font>
    <font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trike/>
      <sz val="10"/>
      <name val="Arial"/>
      <family val="2"/>
    </font>
    <font>
      <strike/>
      <sz val="10"/>
      <color indexed="10"/>
      <name val="Arial"/>
      <family val="2"/>
    </font>
    <font>
      <b/>
      <strike/>
      <sz val="10"/>
      <name val="Arial"/>
      <family val="2"/>
    </font>
    <font>
      <strike/>
      <sz val="10"/>
      <color indexed="10"/>
      <name val="Tahoma"/>
      <family val="2"/>
      <charset val="128"/>
    </font>
    <font>
      <i/>
      <strike/>
      <sz val="10"/>
      <name val="Arial"/>
      <family val="2"/>
    </font>
    <font>
      <strike/>
      <sz val="10"/>
      <name val="Tahoma"/>
      <family val="2"/>
      <charset val="128"/>
    </font>
    <font>
      <strike/>
      <u/>
      <sz val="10"/>
      <color indexed="12"/>
      <name val="Arial"/>
      <family val="2"/>
    </font>
    <font>
      <strike/>
      <u/>
      <sz val="10"/>
      <name val="Arial"/>
      <family val="2"/>
    </font>
    <font>
      <sz val="10"/>
      <color rgb="FF0070C0"/>
      <name val="Arial"/>
      <family val="2"/>
    </font>
    <font>
      <sz val="10"/>
      <color theme="1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indexed="41"/>
        <bgColor indexed="31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41"/>
      </patternFill>
    </fill>
    <fill>
      <patternFill patternType="solid">
        <fgColor indexed="26"/>
        <bgColor indexed="9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31"/>
        <bgColor indexed="41"/>
      </patternFill>
    </fill>
    <fill>
      <patternFill patternType="solid">
        <fgColor indexed="46"/>
        <bgColor indexed="55"/>
      </patternFill>
    </fill>
    <fill>
      <patternFill patternType="solid">
        <fgColor indexed="24"/>
        <bgColor indexed="46"/>
      </patternFill>
    </fill>
    <fill>
      <patternFill patternType="solid">
        <fgColor indexed="22"/>
        <bgColor indexed="41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49"/>
        <bgColor indexed="40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52"/>
        <bgColor indexed="51"/>
      </patternFill>
    </fill>
    <fill>
      <patternFill patternType="solid">
        <fgColor indexed="54"/>
        <bgColor indexed="23"/>
      </patternFill>
    </fill>
    <fill>
      <patternFill patternType="solid">
        <fgColor indexed="10"/>
        <bgColor indexed="60"/>
      </patternFill>
    </fill>
    <fill>
      <patternFill patternType="solid">
        <fgColor indexed="25"/>
        <bgColor indexed="61"/>
      </patternFill>
    </fill>
    <fill>
      <patternFill patternType="solid">
        <fgColor indexed="57"/>
        <bgColor indexed="21"/>
      </patternFill>
    </fill>
    <fill>
      <patternFill patternType="solid">
        <fgColor indexed="23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55"/>
        <bgColor indexed="46"/>
      </patternFill>
    </fill>
    <fill>
      <patternFill patternType="solid">
        <fgColor indexed="62"/>
        <bgColor indexed="56"/>
      </patternFill>
    </fill>
    <fill>
      <patternFill patternType="solid">
        <fgColor indexed="63"/>
        <bgColor indexed="59"/>
      </patternFill>
    </fill>
    <fill>
      <patternFill patternType="solid">
        <fgColor indexed="38"/>
        <bgColor indexed="54"/>
      </patternFill>
    </fill>
    <fill>
      <patternFill patternType="solid">
        <fgColor indexed="21"/>
        <bgColor indexed="30"/>
      </patternFill>
    </fill>
    <fill>
      <patternFill patternType="solid">
        <fgColor theme="0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26"/>
      </patternFill>
    </fill>
    <fill>
      <patternFill patternType="solid">
        <fgColor rgb="FFFFFF00"/>
        <bgColor indexed="26"/>
      </patternFill>
    </fill>
    <fill>
      <patternFill patternType="solid">
        <fgColor rgb="FFFF0000"/>
        <bgColor indexed="41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indexed="31"/>
      </patternFill>
    </fill>
    <fill>
      <patternFill patternType="solid">
        <fgColor rgb="FF00FF00"/>
        <bgColor indexed="26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41"/>
      </patternFill>
    </fill>
    <fill>
      <patternFill patternType="solid">
        <fgColor rgb="FF92D050"/>
        <bgColor indexed="64"/>
      </patternFill>
    </fill>
  </fills>
  <borders count="19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38"/>
      </top>
      <bottom style="medium">
        <color indexed="3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38"/>
      </top>
      <bottom style="thin">
        <color indexed="3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2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8"/>
      </bottom>
      <diagonal/>
    </border>
    <border>
      <left/>
      <right/>
      <top/>
      <bottom style="medium">
        <color indexed="38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/>
      <bottom/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55"/>
      </bottom>
      <diagonal/>
    </border>
    <border>
      <left style="thin">
        <color indexed="8"/>
      </left>
      <right style="thin">
        <color indexed="8"/>
      </right>
      <top style="thin">
        <color indexed="55"/>
      </top>
      <bottom style="thin">
        <color indexed="55"/>
      </bottom>
      <diagonal/>
    </border>
    <border>
      <left style="thin">
        <color indexed="8"/>
      </left>
      <right style="thin">
        <color indexed="8"/>
      </right>
      <top style="thin">
        <color indexed="55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9"/>
      </bottom>
      <diagonal/>
    </border>
    <border>
      <left/>
      <right style="medium">
        <color indexed="46"/>
      </right>
      <top/>
      <bottom style="thin">
        <color indexed="9"/>
      </bottom>
      <diagonal/>
    </border>
    <border>
      <left style="thin">
        <color indexed="46"/>
      </left>
      <right style="thin">
        <color indexed="38"/>
      </right>
      <top style="thin">
        <color indexed="9"/>
      </top>
      <bottom/>
      <diagonal/>
    </border>
    <border>
      <left/>
      <right style="medium">
        <color indexed="46"/>
      </right>
      <top/>
      <bottom/>
      <diagonal/>
    </border>
    <border>
      <left style="thin">
        <color indexed="46"/>
      </left>
      <right style="thin">
        <color indexed="8"/>
      </right>
      <top/>
      <bottom/>
      <diagonal/>
    </border>
    <border>
      <left style="thin">
        <color indexed="38"/>
      </left>
      <right style="thin">
        <color indexed="38"/>
      </right>
      <top/>
      <bottom/>
      <diagonal/>
    </border>
    <border>
      <left style="thin">
        <color indexed="46"/>
      </left>
      <right style="thin">
        <color indexed="38"/>
      </right>
      <top style="medium">
        <color indexed="46"/>
      </top>
      <bottom style="medium">
        <color indexed="46"/>
      </bottom>
      <diagonal/>
    </border>
    <border>
      <left/>
      <right style="medium">
        <color indexed="46"/>
      </right>
      <top style="medium">
        <color indexed="46"/>
      </top>
      <bottom style="medium">
        <color indexed="46"/>
      </bottom>
      <diagonal/>
    </border>
    <border>
      <left style="thin">
        <color indexed="46"/>
      </left>
      <right style="thin">
        <color indexed="8"/>
      </right>
      <top style="medium">
        <color indexed="46"/>
      </top>
      <bottom style="medium">
        <color indexed="46"/>
      </bottom>
      <diagonal/>
    </border>
    <border>
      <left style="thin">
        <color indexed="38"/>
      </left>
      <right style="thin">
        <color indexed="38"/>
      </right>
      <top style="medium">
        <color indexed="46"/>
      </top>
      <bottom style="medium">
        <color indexed="46"/>
      </bottom>
      <diagonal/>
    </border>
    <border>
      <left style="thin">
        <color indexed="46"/>
      </left>
      <right style="thin">
        <color indexed="38"/>
      </right>
      <top/>
      <bottom/>
      <diagonal/>
    </border>
    <border>
      <left style="thin">
        <color indexed="46"/>
      </left>
      <right style="thin">
        <color indexed="8"/>
      </right>
      <top/>
      <bottom style="medium">
        <color indexed="46"/>
      </bottom>
      <diagonal/>
    </border>
    <border>
      <left style="thin">
        <color indexed="38"/>
      </left>
      <right style="thin">
        <color indexed="38"/>
      </right>
      <top/>
      <bottom style="medium">
        <color indexed="46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55"/>
      </bottom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55"/>
      </top>
      <bottom style="thin">
        <color indexed="55"/>
      </bottom>
      <diagonal/>
    </border>
    <border>
      <left/>
      <right style="medium">
        <color indexed="8"/>
      </right>
      <top style="thin">
        <color indexed="55"/>
      </top>
      <bottom style="thin">
        <color indexed="55"/>
      </bottom>
      <diagonal/>
    </border>
    <border>
      <left style="thin">
        <color indexed="8"/>
      </left>
      <right/>
      <top/>
      <bottom style="thin">
        <color indexed="55"/>
      </bottom>
      <diagonal/>
    </border>
    <border>
      <left/>
      <right style="medium">
        <color indexed="8"/>
      </right>
      <top/>
      <bottom style="thin">
        <color indexed="55"/>
      </bottom>
      <diagonal/>
    </border>
    <border>
      <left style="thin">
        <color indexed="8"/>
      </left>
      <right style="thin">
        <color indexed="8"/>
      </right>
      <top style="thin">
        <color indexed="55"/>
      </top>
      <bottom/>
      <diagonal/>
    </border>
    <border>
      <left style="thin">
        <color indexed="8"/>
      </left>
      <right/>
      <top style="thin">
        <color indexed="55"/>
      </top>
      <bottom/>
      <diagonal/>
    </border>
    <border>
      <left/>
      <right style="medium">
        <color indexed="8"/>
      </right>
      <top style="thin">
        <color indexed="55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/>
      <bottom style="thin">
        <color indexed="55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5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55"/>
      </bottom>
      <diagonal/>
    </border>
    <border>
      <left style="thin">
        <color indexed="8"/>
      </left>
      <right style="thin">
        <color indexed="64"/>
      </right>
      <top/>
      <bottom/>
      <diagonal/>
    </border>
    <border>
      <left/>
      <right style="thin">
        <color indexed="8"/>
      </right>
      <top/>
      <bottom style="thin">
        <color indexed="55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38"/>
      </left>
      <right style="medium">
        <color indexed="38"/>
      </right>
      <top style="medium">
        <color indexed="38"/>
      </top>
      <bottom style="medium">
        <color indexed="3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55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55"/>
      </top>
      <bottom style="thin">
        <color indexed="55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/>
      <bottom style="thin">
        <color indexed="55"/>
      </bottom>
      <diagonal/>
    </border>
    <border>
      <left/>
      <right style="thin">
        <color indexed="64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medium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55"/>
      </bottom>
      <diagonal/>
    </border>
    <border>
      <left style="thin">
        <color indexed="8"/>
      </left>
      <right/>
      <top style="thin">
        <color indexed="55"/>
      </top>
      <bottom style="thin">
        <color indexed="8"/>
      </bottom>
      <diagonal/>
    </border>
    <border>
      <left/>
      <right style="medium">
        <color indexed="8"/>
      </right>
      <top style="thin">
        <color indexed="55"/>
      </top>
      <bottom style="thin">
        <color indexed="8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theme="6"/>
      </bottom>
      <diagonal/>
    </border>
    <border>
      <left style="thin">
        <color indexed="8"/>
      </left>
      <right style="thin">
        <color indexed="64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theme="6"/>
      </top>
      <bottom style="thin">
        <color theme="6"/>
      </bottom>
      <diagonal/>
    </border>
    <border>
      <left style="thin">
        <color indexed="8"/>
      </left>
      <right style="thin">
        <color indexed="64"/>
      </right>
      <top style="thin">
        <color theme="6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theme="6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/>
      <bottom style="thin">
        <color theme="6"/>
      </bottom>
      <diagonal/>
    </border>
    <border>
      <left style="thin">
        <color indexed="64"/>
      </left>
      <right/>
      <top style="thin">
        <color indexed="8"/>
      </top>
      <bottom style="thin">
        <color theme="6"/>
      </bottom>
      <diagonal/>
    </border>
    <border>
      <left style="thin">
        <color indexed="8"/>
      </left>
      <right style="thin">
        <color indexed="64"/>
      </right>
      <top style="thin">
        <color theme="6"/>
      </top>
      <bottom/>
      <diagonal/>
    </border>
    <border>
      <left style="thin">
        <color indexed="8"/>
      </left>
      <right style="thin">
        <color indexed="64"/>
      </right>
      <top style="thin">
        <color theme="0" tint="-0.34998626667073579"/>
      </top>
      <bottom style="thin">
        <color theme="6"/>
      </bottom>
      <diagonal/>
    </border>
    <border>
      <left style="thin">
        <color indexed="64"/>
      </left>
      <right/>
      <top style="thin">
        <color theme="0" tint="-0.34998626667073579"/>
      </top>
      <bottom style="thin">
        <color indexed="55"/>
      </bottom>
      <diagonal/>
    </border>
    <border>
      <left/>
      <right style="medium">
        <color indexed="8"/>
      </right>
      <top style="thin">
        <color theme="0" tint="-0.34998626667073579"/>
      </top>
      <bottom style="thin">
        <color indexed="55"/>
      </bottom>
      <diagonal/>
    </border>
    <border>
      <left style="thin">
        <color indexed="8"/>
      </left>
      <right style="thin">
        <color indexed="64"/>
      </right>
      <top style="thin">
        <color theme="6"/>
      </top>
      <bottom style="thin">
        <color theme="0" tint="-0.34998626667073579"/>
      </bottom>
      <diagonal/>
    </border>
    <border>
      <left style="thin">
        <color indexed="8"/>
      </left>
      <right style="thin">
        <color indexed="8"/>
      </right>
      <top style="thin">
        <color theme="6"/>
      </top>
      <bottom style="thin">
        <color theme="0" tint="-0.34998626667073579"/>
      </bottom>
      <diagonal/>
    </border>
    <border>
      <left style="thin">
        <color indexed="8"/>
      </left>
      <right style="thin">
        <color indexed="8"/>
      </right>
      <top style="thin">
        <color theme="0" tint="-0.34998626667073579"/>
      </top>
      <bottom style="thin">
        <color theme="6"/>
      </bottom>
      <diagonal/>
    </border>
    <border>
      <left/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theme="6"/>
      </bottom>
      <diagonal/>
    </border>
    <border>
      <left style="thin">
        <color indexed="64"/>
      </left>
      <right style="thin">
        <color indexed="8"/>
      </right>
      <top style="thin">
        <color indexed="55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77111117893"/>
      </bottom>
      <diagonal/>
    </border>
    <border>
      <left style="thin">
        <color indexed="64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indexed="8"/>
      </right>
      <top/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 style="thin">
        <color theme="6"/>
      </bottom>
      <diagonal/>
    </border>
    <border>
      <left/>
      <right/>
      <top style="thin">
        <color indexed="64"/>
      </top>
      <bottom style="thin">
        <color theme="0" tint="-0.34998626667073579"/>
      </bottom>
      <diagonal/>
    </border>
    <border>
      <left/>
      <right style="medium">
        <color indexed="8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8"/>
      </left>
      <right style="thin">
        <color indexed="8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34998626667073579"/>
      </bottom>
      <diagonal/>
    </border>
    <border>
      <left style="thin">
        <color indexed="8"/>
      </left>
      <right style="thin">
        <color indexed="8"/>
      </right>
      <top style="thin">
        <color theme="0" tint="-0.34998626667073579"/>
      </top>
      <bottom/>
      <diagonal/>
    </border>
    <border>
      <left style="thin">
        <color indexed="8"/>
      </left>
      <right style="thin">
        <color indexed="8"/>
      </right>
      <top/>
      <bottom style="thin">
        <color theme="0" tint="-0.34998626667073579"/>
      </bottom>
      <diagonal/>
    </border>
    <border>
      <left style="thin">
        <color indexed="8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8"/>
      </right>
      <top style="thin">
        <color theme="6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8"/>
      </right>
      <top style="thin">
        <color theme="0" tint="-0.34998626667073579"/>
      </top>
      <bottom style="thin">
        <color theme="6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8"/>
      </left>
      <right style="thin">
        <color indexed="64"/>
      </right>
      <top/>
      <bottom style="thin">
        <color theme="0" tint="-0.34998626667073579"/>
      </bottom>
      <diagonal/>
    </border>
    <border>
      <left/>
      <right style="thin">
        <color indexed="64"/>
      </right>
      <top style="thin">
        <color indexed="8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8"/>
      </top>
      <bottom style="thin">
        <color theme="0" tint="-0.34998626667073579"/>
      </bottom>
      <diagonal/>
    </border>
    <border>
      <left style="thin">
        <color indexed="8"/>
      </left>
      <right/>
      <top style="thin">
        <color theme="6"/>
      </top>
      <bottom style="thin">
        <color theme="6"/>
      </bottom>
      <diagonal/>
    </border>
    <border>
      <left/>
      <right style="medium">
        <color indexed="8"/>
      </right>
      <top style="thin">
        <color theme="6"/>
      </top>
      <bottom style="thin">
        <color theme="6"/>
      </bottom>
      <diagonal/>
    </border>
    <border>
      <left/>
      <right/>
      <top style="thin">
        <color indexed="8"/>
      </top>
      <bottom style="thin">
        <color theme="0" tint="-0.34998626667073579"/>
      </bottom>
      <diagonal/>
    </border>
    <border>
      <left/>
      <right style="medium">
        <color indexed="8"/>
      </right>
      <top style="thin">
        <color indexed="8"/>
      </top>
      <bottom style="thin">
        <color theme="0" tint="-0.34998626667073579"/>
      </bottom>
      <diagonal/>
    </border>
    <border>
      <left style="thin">
        <color indexed="64"/>
      </left>
      <right style="medium">
        <color indexed="8"/>
      </right>
      <top style="thin">
        <color theme="6"/>
      </top>
      <bottom style="thin">
        <color indexed="8"/>
      </bottom>
      <diagonal/>
    </border>
    <border>
      <left style="thin">
        <color indexed="64"/>
      </left>
      <right style="medium">
        <color indexed="8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medium">
        <color indexed="8"/>
      </right>
      <top style="thin">
        <color indexed="8"/>
      </top>
      <bottom style="thin">
        <color theme="6"/>
      </bottom>
      <diagonal/>
    </border>
    <border>
      <left style="thin">
        <color indexed="64"/>
      </left>
      <right style="medium">
        <color indexed="8"/>
      </right>
      <top/>
      <bottom style="thin">
        <color theme="6"/>
      </bottom>
      <diagonal/>
    </border>
    <border>
      <left style="thin">
        <color indexed="64"/>
      </left>
      <right/>
      <top style="thin">
        <color theme="6"/>
      </top>
      <bottom style="thin">
        <color theme="6"/>
      </bottom>
      <diagonal/>
    </border>
    <border>
      <left style="thin">
        <color indexed="64"/>
      </left>
      <right style="medium">
        <color indexed="8"/>
      </right>
      <top style="thin">
        <color theme="0" tint="-0.34998626667073579"/>
      </top>
      <bottom style="thin">
        <color theme="6"/>
      </bottom>
      <diagonal/>
    </border>
    <border>
      <left style="thin">
        <color indexed="64"/>
      </left>
      <right/>
      <top style="thin">
        <color indexed="55"/>
      </top>
      <bottom style="thin">
        <color theme="0" tint="-0.34998626667073579"/>
      </bottom>
      <diagonal/>
    </border>
    <border>
      <left/>
      <right style="medium">
        <color indexed="8"/>
      </right>
      <top style="thin">
        <color indexed="55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6"/>
      </bottom>
      <diagonal/>
    </border>
    <border>
      <left style="thin">
        <color indexed="64"/>
      </left>
      <right style="medium">
        <color indexed="8"/>
      </right>
      <top style="thin">
        <color indexed="64"/>
      </top>
      <bottom style="thin">
        <color theme="6"/>
      </bottom>
      <diagonal/>
    </border>
    <border>
      <left/>
      <right/>
      <top/>
      <bottom style="thin">
        <color theme="6"/>
      </bottom>
      <diagonal/>
    </border>
    <border>
      <left/>
      <right style="medium">
        <color indexed="8"/>
      </right>
      <top/>
      <bottom style="thin">
        <color theme="6"/>
      </bottom>
      <diagonal/>
    </border>
    <border>
      <left/>
      <right style="thin">
        <color indexed="64"/>
      </right>
      <top/>
      <bottom style="thin">
        <color theme="6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theme="6"/>
      </bottom>
      <diagonal/>
    </border>
    <border>
      <left/>
      <right style="thin">
        <color indexed="64"/>
      </right>
      <top/>
      <bottom style="thin">
        <color theme="0" tint="-0.34998626667073579"/>
      </bottom>
      <diagonal/>
    </border>
    <border>
      <left style="thin">
        <color indexed="64"/>
      </left>
      <right style="medium">
        <color indexed="8"/>
      </right>
      <top/>
      <bottom style="thin">
        <color theme="0" tint="-0.34998626667073579"/>
      </bottom>
      <diagonal/>
    </border>
  </borders>
  <cellStyleXfs count="304">
    <xf numFmtId="0" fontId="0" fillId="0" borderId="0"/>
    <xf numFmtId="0" fontId="30" fillId="2" borderId="0" applyNumberFormat="0" applyBorder="0" applyAlignment="0" applyProtection="0"/>
    <xf numFmtId="0" fontId="38" fillId="3" borderId="0" applyNumberFormat="0" applyBorder="0" applyAlignment="0" applyProtection="0"/>
    <xf numFmtId="0" fontId="30" fillId="4" borderId="0" applyNumberFormat="0" applyBorder="0" applyAlignment="0" applyProtection="0"/>
    <xf numFmtId="0" fontId="38" fillId="5" borderId="0" applyNumberFormat="0" applyBorder="0" applyAlignment="0" applyProtection="0"/>
    <xf numFmtId="0" fontId="30" fillId="4" borderId="0" applyNumberFormat="0" applyBorder="0" applyAlignment="0" applyProtection="0"/>
    <xf numFmtId="0" fontId="38" fillId="6" borderId="0" applyNumberFormat="0" applyBorder="0" applyAlignment="0" applyProtection="0"/>
    <xf numFmtId="0" fontId="30" fillId="7" borderId="0" applyNumberFormat="0" applyBorder="0" applyAlignment="0" applyProtection="0"/>
    <xf numFmtId="0" fontId="38" fillId="8" borderId="0" applyNumberFormat="0" applyBorder="0" applyAlignment="0" applyProtection="0"/>
    <xf numFmtId="0" fontId="30" fillId="2" borderId="0" applyNumberFormat="0" applyBorder="0" applyAlignment="0" applyProtection="0"/>
    <xf numFmtId="0" fontId="38" fillId="3" borderId="0" applyNumberFormat="0" applyBorder="0" applyAlignment="0" applyProtection="0"/>
    <xf numFmtId="0" fontId="30" fillId="5" borderId="0" applyNumberFormat="0" applyBorder="0" applyAlignment="0" applyProtection="0"/>
    <xf numFmtId="0" fontId="38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8" borderId="0" applyNumberFormat="0" applyBorder="0" applyAlignment="0" applyProtection="0"/>
    <xf numFmtId="0" fontId="40" fillId="8" borderId="0" applyNumberFormat="0" applyBorder="0" applyAlignment="0" applyProtection="0"/>
    <xf numFmtId="0" fontId="31" fillId="8" borderId="0" applyNumberFormat="0" applyBorder="0" applyAlignment="0" applyProtection="0"/>
    <xf numFmtId="0" fontId="40" fillId="8" borderId="0" applyNumberFormat="0" applyBorder="0" applyAlignment="0" applyProtection="0"/>
    <xf numFmtId="0" fontId="40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9" borderId="0" applyNumberFormat="0" applyBorder="0" applyAlignment="0" applyProtection="0"/>
    <xf numFmtId="0" fontId="40" fillId="10" borderId="0" applyNumberFormat="0" applyBorder="0" applyAlignment="0" applyProtection="0"/>
    <xf numFmtId="0" fontId="31" fillId="9" borderId="0" applyNumberFormat="0" applyBorder="0" applyAlignment="0" applyProtection="0"/>
    <xf numFmtId="0" fontId="40" fillId="10" borderId="0" applyNumberFormat="0" applyBorder="0" applyAlignment="0" applyProtection="0"/>
    <xf numFmtId="0" fontId="40" fillId="10" borderId="0" applyNumberFormat="0" applyBorder="0" applyAlignment="0" applyProtection="0"/>
    <xf numFmtId="0" fontId="31" fillId="6" borderId="0" applyNumberFormat="0" applyBorder="0" applyAlignment="0" applyProtection="0"/>
    <xf numFmtId="0" fontId="31" fillId="6" borderId="0" applyNumberFormat="0" applyBorder="0" applyAlignment="0" applyProtection="0"/>
    <xf numFmtId="0" fontId="40" fillId="6" borderId="0" applyNumberFormat="0" applyBorder="0" applyAlignment="0" applyProtection="0"/>
    <xf numFmtId="0" fontId="31" fillId="6" borderId="0" applyNumberFormat="0" applyBorder="0" applyAlignment="0" applyProtection="0"/>
    <xf numFmtId="0" fontId="40" fillId="6" borderId="0" applyNumberFormat="0" applyBorder="0" applyAlignment="0" applyProtection="0"/>
    <xf numFmtId="0" fontId="40" fillId="6" borderId="0" applyNumberFormat="0" applyBorder="0" applyAlignment="0" applyProtection="0"/>
    <xf numFmtId="0" fontId="31" fillId="2" borderId="0" applyNumberFormat="0" applyBorder="0" applyAlignment="0" applyProtection="0"/>
    <xf numFmtId="0" fontId="31" fillId="2" borderId="0" applyNumberFormat="0" applyBorder="0" applyAlignment="0" applyProtection="0"/>
    <xf numFmtId="0" fontId="40" fillId="3" borderId="0" applyNumberFormat="0" applyBorder="0" applyAlignment="0" applyProtection="0"/>
    <xf numFmtId="0" fontId="31" fillId="2" borderId="0" applyNumberFormat="0" applyBorder="0" applyAlignment="0" applyProtection="0"/>
    <xf numFmtId="0" fontId="40" fillId="3" borderId="0" applyNumberFormat="0" applyBorder="0" applyAlignment="0" applyProtection="0"/>
    <xf numFmtId="0" fontId="40" fillId="3" borderId="0" applyNumberFormat="0" applyBorder="0" applyAlignment="0" applyProtection="0"/>
    <xf numFmtId="0" fontId="31" fillId="3" borderId="0" applyNumberFormat="0" applyBorder="0" applyAlignment="0" applyProtection="0"/>
    <xf numFmtId="0" fontId="31" fillId="3" borderId="0" applyNumberFormat="0" applyBorder="0" applyAlignment="0" applyProtection="0"/>
    <xf numFmtId="0" fontId="40" fillId="3" borderId="0" applyNumberFormat="0" applyBorder="0" applyAlignment="0" applyProtection="0"/>
    <xf numFmtId="0" fontId="31" fillId="3" borderId="0" applyNumberFormat="0" applyBorder="0" applyAlignment="0" applyProtection="0"/>
    <xf numFmtId="0" fontId="40" fillId="3" borderId="0" applyNumberFormat="0" applyBorder="0" applyAlignment="0" applyProtection="0"/>
    <xf numFmtId="0" fontId="40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4" borderId="0" applyNumberFormat="0" applyBorder="0" applyAlignment="0" applyProtection="0"/>
    <xf numFmtId="0" fontId="40" fillId="4" borderId="0" applyNumberFormat="0" applyBorder="0" applyAlignment="0" applyProtection="0"/>
    <xf numFmtId="0" fontId="31" fillId="4" borderId="0" applyNumberFormat="0" applyBorder="0" applyAlignment="0" applyProtection="0"/>
    <xf numFmtId="0" fontId="40" fillId="4" borderId="0" applyNumberFormat="0" applyBorder="0" applyAlignment="0" applyProtection="0"/>
    <xf numFmtId="0" fontId="40" fillId="4" borderId="0" applyNumberFormat="0" applyBorder="0" applyAlignment="0" applyProtection="0"/>
    <xf numFmtId="0" fontId="30" fillId="2" borderId="0" applyNumberFormat="0" applyBorder="0" applyAlignment="0" applyProtection="0"/>
    <xf numFmtId="0" fontId="38" fillId="3" borderId="0" applyNumberFormat="0" applyBorder="0" applyAlignment="0" applyProtection="0"/>
    <xf numFmtId="0" fontId="30" fillId="4" borderId="0" applyNumberFormat="0" applyBorder="0" applyAlignment="0" applyProtection="0"/>
    <xf numFmtId="0" fontId="38" fillId="3" borderId="0" applyNumberFormat="0" applyBorder="0" applyAlignment="0" applyProtection="0"/>
    <xf numFmtId="0" fontId="30" fillId="4" borderId="0" applyNumberFormat="0" applyBorder="0" applyAlignment="0" applyProtection="0"/>
    <xf numFmtId="0" fontId="38" fillId="3" borderId="0" applyNumberFormat="0" applyBorder="0" applyAlignment="0" applyProtection="0"/>
    <xf numFmtId="0" fontId="30" fillId="11" borderId="0" applyNumberFormat="0" applyBorder="0" applyAlignment="0" applyProtection="0"/>
    <xf numFmtId="0" fontId="38" fillId="3" borderId="0" applyNumberFormat="0" applyBorder="0" applyAlignment="0" applyProtection="0"/>
    <xf numFmtId="0" fontId="30" fillId="2" borderId="0" applyNumberFormat="0" applyBorder="0" applyAlignment="0" applyProtection="0"/>
    <xf numFmtId="0" fontId="38" fillId="8" borderId="0" applyNumberFormat="0" applyBorder="0" applyAlignment="0" applyProtection="0"/>
    <xf numFmtId="0" fontId="30" fillId="12" borderId="0" applyNumberFormat="0" applyBorder="0" applyAlignment="0" applyProtection="0"/>
    <xf numFmtId="0" fontId="38" fillId="4" borderId="0" applyNumberFormat="0" applyBorder="0" applyAlignment="0" applyProtection="0"/>
    <xf numFmtId="0" fontId="31" fillId="13" borderId="0" applyNumberFormat="0" applyBorder="0" applyAlignment="0" applyProtection="0"/>
    <xf numFmtId="0" fontId="31" fillId="13" borderId="0" applyNumberFormat="0" applyBorder="0" applyAlignment="0" applyProtection="0"/>
    <xf numFmtId="0" fontId="40" fillId="13" borderId="0" applyNumberFormat="0" applyBorder="0" applyAlignment="0" applyProtection="0"/>
    <xf numFmtId="0" fontId="31" fillId="13" borderId="0" applyNumberFormat="0" applyBorder="0" applyAlignment="0" applyProtection="0"/>
    <xf numFmtId="0" fontId="40" fillId="13" borderId="0" applyNumberFormat="0" applyBorder="0" applyAlignment="0" applyProtection="0"/>
    <xf numFmtId="0" fontId="40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4" borderId="0" applyNumberFormat="0" applyBorder="0" applyAlignment="0" applyProtection="0"/>
    <xf numFmtId="0" fontId="40" fillId="14" borderId="0" applyNumberFormat="0" applyBorder="0" applyAlignment="0" applyProtection="0"/>
    <xf numFmtId="0" fontId="31" fillId="14" borderId="0" applyNumberFormat="0" applyBorder="0" applyAlignment="0" applyProtection="0"/>
    <xf numFmtId="0" fontId="40" fillId="14" borderId="0" applyNumberFormat="0" applyBorder="0" applyAlignment="0" applyProtection="0"/>
    <xf numFmtId="0" fontId="40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5" borderId="0" applyNumberFormat="0" applyBorder="0" applyAlignment="0" applyProtection="0"/>
    <xf numFmtId="0" fontId="40" fillId="15" borderId="0" applyNumberFormat="0" applyBorder="0" applyAlignment="0" applyProtection="0"/>
    <xf numFmtId="0" fontId="31" fillId="15" borderId="0" applyNumberFormat="0" applyBorder="0" applyAlignment="0" applyProtection="0"/>
    <xf numFmtId="0" fontId="40" fillId="15" borderId="0" applyNumberFormat="0" applyBorder="0" applyAlignment="0" applyProtection="0"/>
    <xf numFmtId="0" fontId="40" fillId="15" borderId="0" applyNumberFormat="0" applyBorder="0" applyAlignment="0" applyProtection="0"/>
    <xf numFmtId="0" fontId="31" fillId="2" borderId="0" applyNumberFormat="0" applyBorder="0" applyAlignment="0" applyProtection="0"/>
    <xf numFmtId="0" fontId="31" fillId="2" borderId="0" applyNumberFormat="0" applyBorder="0" applyAlignment="0" applyProtection="0"/>
    <xf numFmtId="0" fontId="40" fillId="3" borderId="0" applyNumberFormat="0" applyBorder="0" applyAlignment="0" applyProtection="0"/>
    <xf numFmtId="0" fontId="31" fillId="2" borderId="0" applyNumberFormat="0" applyBorder="0" applyAlignment="0" applyProtection="0"/>
    <xf numFmtId="0" fontId="40" fillId="3" borderId="0" applyNumberFormat="0" applyBorder="0" applyAlignment="0" applyProtection="0"/>
    <xf numFmtId="0" fontId="40" fillId="3" borderId="0" applyNumberFormat="0" applyBorder="0" applyAlignment="0" applyProtection="0"/>
    <xf numFmtId="0" fontId="31" fillId="13" borderId="0" applyNumberFormat="0" applyBorder="0" applyAlignment="0" applyProtection="0"/>
    <xf numFmtId="0" fontId="31" fillId="13" borderId="0" applyNumberFormat="0" applyBorder="0" applyAlignment="0" applyProtection="0"/>
    <xf numFmtId="0" fontId="40" fillId="13" borderId="0" applyNumberFormat="0" applyBorder="0" applyAlignment="0" applyProtection="0"/>
    <xf numFmtId="0" fontId="31" fillId="13" borderId="0" applyNumberFormat="0" applyBorder="0" applyAlignment="0" applyProtection="0"/>
    <xf numFmtId="0" fontId="40" fillId="13" borderId="0" applyNumberFormat="0" applyBorder="0" applyAlignment="0" applyProtection="0"/>
    <xf numFmtId="0" fontId="40" fillId="13" borderId="0" applyNumberFormat="0" applyBorder="0" applyAlignment="0" applyProtection="0"/>
    <xf numFmtId="0" fontId="31" fillId="16" borderId="0" applyNumberFormat="0" applyBorder="0" applyAlignment="0" applyProtection="0"/>
    <xf numFmtId="0" fontId="31" fillId="16" borderId="0" applyNumberFormat="0" applyBorder="0" applyAlignment="0" applyProtection="0"/>
    <xf numFmtId="0" fontId="40" fillId="16" borderId="0" applyNumberFormat="0" applyBorder="0" applyAlignment="0" applyProtection="0"/>
    <xf numFmtId="0" fontId="31" fillId="16" borderId="0" applyNumberFormat="0" applyBorder="0" applyAlignment="0" applyProtection="0"/>
    <xf numFmtId="0" fontId="40" fillId="16" borderId="0" applyNumberFormat="0" applyBorder="0" applyAlignment="0" applyProtection="0"/>
    <xf numFmtId="0" fontId="40" fillId="16" borderId="0" applyNumberFormat="0" applyBorder="0" applyAlignment="0" applyProtection="0"/>
    <xf numFmtId="0" fontId="53" fillId="17" borderId="0" applyNumberFormat="0" applyBorder="0" applyAlignment="0" applyProtection="0"/>
    <xf numFmtId="0" fontId="53" fillId="10" borderId="0" applyNumberFormat="0" applyBorder="0" applyAlignment="0" applyProtection="0"/>
    <xf numFmtId="0" fontId="53" fillId="4" borderId="0" applyNumberFormat="0" applyBorder="0" applyAlignment="0" applyProtection="0"/>
    <xf numFmtId="0" fontId="53" fillId="14" borderId="0" applyNumberFormat="0" applyBorder="0" applyAlignment="0" applyProtection="0"/>
    <xf numFmtId="0" fontId="53" fillId="4" borderId="0" applyNumberFormat="0" applyBorder="0" applyAlignment="0" applyProtection="0"/>
    <xf numFmtId="0" fontId="53" fillId="11" borderId="0" applyNumberFormat="0" applyBorder="0" applyAlignment="0" applyProtection="0"/>
    <xf numFmtId="0" fontId="53" fillId="11" borderId="0" applyNumberFormat="0" applyBorder="0" applyAlignment="0" applyProtection="0"/>
    <xf numFmtId="0" fontId="53" fillId="10" borderId="0" applyNumberFormat="0" applyBorder="0" applyAlignment="0" applyProtection="0"/>
    <xf numFmtId="0" fontId="53" fillId="17" borderId="0" applyNumberFormat="0" applyBorder="0" applyAlignment="0" applyProtection="0"/>
    <xf numFmtId="0" fontId="53" fillId="13" borderId="0" applyNumberFormat="0" applyBorder="0" applyAlignment="0" applyProtection="0"/>
    <xf numFmtId="0" fontId="53" fillId="14" borderId="0" applyNumberFormat="0" applyBorder="0" applyAlignment="0" applyProtection="0"/>
    <xf numFmtId="0" fontId="53" fillId="4" borderId="0" applyNumberFormat="0" applyBorder="0" applyAlignment="0" applyProtection="0"/>
    <xf numFmtId="0" fontId="35" fillId="18" borderId="0" applyNumberFormat="0" applyBorder="0" applyAlignment="0" applyProtection="0"/>
    <xf numFmtId="0" fontId="35" fillId="18" borderId="0" applyNumberFormat="0" applyBorder="0" applyAlignment="0" applyProtection="0"/>
    <xf numFmtId="0" fontId="35" fillId="14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5" borderId="0" applyNumberFormat="0" applyBorder="0" applyAlignment="0" applyProtection="0"/>
    <xf numFmtId="0" fontId="35" fillId="19" borderId="0" applyNumberFormat="0" applyBorder="0" applyAlignment="0" applyProtection="0"/>
    <xf numFmtId="0" fontId="35" fillId="19" borderId="0" applyNumberFormat="0" applyBorder="0" applyAlignment="0" applyProtection="0"/>
    <xf numFmtId="0" fontId="35" fillId="17" borderId="0" applyNumberFormat="0" applyBorder="0" applyAlignment="0" applyProtection="0"/>
    <xf numFmtId="0" fontId="35" fillId="17" borderId="0" applyNumberFormat="0" applyBorder="0" applyAlignment="0" applyProtection="0"/>
    <xf numFmtId="0" fontId="35" fillId="20" borderId="0" applyNumberFormat="0" applyBorder="0" applyAlignment="0" applyProtection="0"/>
    <xf numFmtId="0" fontId="35" fillId="20" borderId="0" applyNumberFormat="0" applyBorder="0" applyAlignment="0" applyProtection="0"/>
    <xf numFmtId="0" fontId="53" fillId="17" borderId="0" applyNumberFormat="0" applyBorder="0" applyAlignment="0" applyProtection="0"/>
    <xf numFmtId="0" fontId="53" fillId="21" borderId="0" applyNumberFormat="0" applyBorder="0" applyAlignment="0" applyProtection="0"/>
    <xf numFmtId="0" fontId="53" fillId="22" borderId="0" applyNumberFormat="0" applyBorder="0" applyAlignment="0" applyProtection="0"/>
    <xf numFmtId="0" fontId="53" fillId="23" borderId="0" applyNumberFormat="0" applyBorder="0" applyAlignment="0" applyProtection="0"/>
    <xf numFmtId="0" fontId="53" fillId="24" borderId="0" applyNumberFormat="0" applyBorder="0" applyAlignment="0" applyProtection="0"/>
    <xf numFmtId="0" fontId="53" fillId="25" borderId="0" applyNumberFormat="0" applyBorder="0" applyAlignment="0" applyProtection="0"/>
    <xf numFmtId="0" fontId="53" fillId="21" borderId="0" applyNumberFormat="0" applyBorder="0" applyAlignment="0" applyProtection="0"/>
    <xf numFmtId="0" fontId="53" fillId="21" borderId="0" applyNumberFormat="0" applyBorder="0" applyAlignment="0" applyProtection="0"/>
    <xf numFmtId="0" fontId="53" fillId="17" borderId="0" applyNumberFormat="0" applyBorder="0" applyAlignment="0" applyProtection="0"/>
    <xf numFmtId="0" fontId="53" fillId="17" borderId="0" applyNumberFormat="0" applyBorder="0" applyAlignment="0" applyProtection="0"/>
    <xf numFmtId="0" fontId="53" fillId="26" borderId="0" applyNumberFormat="0" applyBorder="0" applyAlignment="0" applyProtection="0"/>
    <xf numFmtId="0" fontId="53" fillId="14" borderId="0" applyNumberFormat="0" applyBorder="0" applyAlignment="0" applyProtection="0"/>
    <xf numFmtId="0" fontId="68" fillId="8" borderId="0" applyNumberFormat="0" applyBorder="0" applyAlignment="0" applyProtection="0"/>
    <xf numFmtId="0" fontId="71" fillId="4" borderId="0" applyNumberFormat="0" applyBorder="0" applyAlignment="0" applyProtection="0"/>
    <xf numFmtId="168" fontId="16" fillId="0" borderId="0" applyFill="0" applyBorder="0" applyAlignment="0"/>
    <xf numFmtId="168" fontId="72" fillId="0" borderId="0" applyFill="0" applyBorder="0" applyAlignment="0"/>
    <xf numFmtId="0" fontId="63" fillId="7" borderId="1" applyNumberFormat="0" applyAlignment="0" applyProtection="0"/>
    <xf numFmtId="0" fontId="49" fillId="7" borderId="1" applyNumberFormat="0" applyAlignment="0" applyProtection="0"/>
    <xf numFmtId="0" fontId="73" fillId="27" borderId="2" applyNumberFormat="0" applyAlignment="0" applyProtection="0"/>
    <xf numFmtId="0" fontId="73" fillId="10" borderId="2" applyNumberFormat="0" applyAlignment="0" applyProtection="0"/>
    <xf numFmtId="0" fontId="70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6" fillId="2" borderId="0" applyNumberFormat="0" applyBorder="0" applyAlignment="0" applyProtection="0"/>
    <xf numFmtId="0" fontId="66" fillId="3" borderId="0" applyNumberFormat="0" applyBorder="0" applyAlignment="0" applyProtection="0"/>
    <xf numFmtId="0" fontId="12" fillId="0" borderId="3" applyNumberFormat="0" applyAlignment="0" applyProtection="0"/>
    <xf numFmtId="0" fontId="12" fillId="0" borderId="4" applyNumberFormat="0" applyAlignment="0" applyProtection="0"/>
    <xf numFmtId="0" fontId="12" fillId="0" borderId="5">
      <alignment horizontal="left" vertical="center"/>
    </xf>
    <xf numFmtId="0" fontId="12" fillId="0" borderId="6">
      <alignment horizontal="left" vertical="center"/>
    </xf>
    <xf numFmtId="0" fontId="74" fillId="0" borderId="7" applyNumberFormat="0" applyFill="0" applyAlignment="0" applyProtection="0"/>
    <xf numFmtId="0" fontId="74" fillId="0" borderId="8" applyNumberFormat="0" applyFill="0" applyAlignment="0" applyProtection="0"/>
    <xf numFmtId="0" fontId="44" fillId="0" borderId="10" applyNumberFormat="0" applyFill="0" applyAlignment="0" applyProtection="0"/>
    <xf numFmtId="0" fontId="44" fillId="0" borderId="9" applyNumberFormat="0" applyFill="0" applyAlignment="0" applyProtection="0"/>
    <xf numFmtId="0" fontId="48" fillId="0" borderId="11" applyNumberFormat="0" applyFill="0" applyAlignment="0" applyProtection="0"/>
    <xf numFmtId="0" fontId="48" fillId="0" borderId="12" applyNumberFormat="0" applyFill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2" fillId="0" borderId="0" applyBorder="0"/>
    <xf numFmtId="0" fontId="34" fillId="12" borderId="1" applyNumberFormat="0" applyAlignment="0" applyProtection="0"/>
    <xf numFmtId="0" fontId="34" fillId="4" borderId="1" applyNumberFormat="0" applyAlignment="0" applyProtection="0"/>
    <xf numFmtId="0" fontId="32" fillId="0" borderId="0"/>
    <xf numFmtId="0" fontId="39" fillId="0" borderId="13" applyNumberFormat="0" applyFill="0" applyAlignment="0" applyProtection="0"/>
    <xf numFmtId="0" fontId="45" fillId="0" borderId="13" applyNumberFormat="0" applyFill="0" applyAlignment="0" applyProtection="0"/>
    <xf numFmtId="0" fontId="36" fillId="12" borderId="0" applyNumberFormat="0" applyBorder="0" applyAlignment="0" applyProtection="0"/>
    <xf numFmtId="0" fontId="58" fillId="12" borderId="0" applyNumberFormat="0" applyBorder="0" applyAlignment="0" applyProtection="0"/>
    <xf numFmtId="0" fontId="30" fillId="0" borderId="0"/>
    <xf numFmtId="0" fontId="38" fillId="0" borderId="0"/>
    <xf numFmtId="0" fontId="30" fillId="0" borderId="0"/>
    <xf numFmtId="0" fontId="38" fillId="0" borderId="0"/>
    <xf numFmtId="0" fontId="81" fillId="0" borderId="0"/>
    <xf numFmtId="0" fontId="30" fillId="0" borderId="0"/>
    <xf numFmtId="0" fontId="38" fillId="0" borderId="0"/>
    <xf numFmtId="0" fontId="81" fillId="0" borderId="0"/>
    <xf numFmtId="0" fontId="31" fillId="0" borderId="0"/>
    <xf numFmtId="0" fontId="31" fillId="0" borderId="0"/>
    <xf numFmtId="0" fontId="40" fillId="0" borderId="0"/>
    <xf numFmtId="0" fontId="31" fillId="0" borderId="0"/>
    <xf numFmtId="0" fontId="40" fillId="0" borderId="0"/>
    <xf numFmtId="0" fontId="31" fillId="0" borderId="0"/>
    <xf numFmtId="0" fontId="40" fillId="0" borderId="0"/>
    <xf numFmtId="0" fontId="31" fillId="0" borderId="0"/>
    <xf numFmtId="0" fontId="40" fillId="0" borderId="0"/>
    <xf numFmtId="0" fontId="31" fillId="0" borderId="0"/>
    <xf numFmtId="0" fontId="40" fillId="0" borderId="0"/>
    <xf numFmtId="0" fontId="40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81" fillId="0" borderId="0"/>
    <xf numFmtId="0" fontId="30" fillId="0" borderId="0"/>
    <xf numFmtId="0" fontId="38" fillId="0" borderId="0"/>
    <xf numFmtId="0" fontId="30" fillId="0" borderId="0"/>
    <xf numFmtId="0" fontId="81" fillId="0" borderId="0"/>
    <xf numFmtId="0" fontId="38" fillId="0" borderId="0"/>
    <xf numFmtId="0" fontId="81" fillId="0" borderId="0"/>
    <xf numFmtId="0" fontId="30" fillId="0" borderId="0"/>
    <xf numFmtId="0" fontId="38" fillId="0" borderId="0"/>
    <xf numFmtId="0" fontId="30" fillId="0" borderId="0"/>
    <xf numFmtId="0" fontId="38" fillId="0" borderId="0"/>
    <xf numFmtId="0" fontId="30" fillId="0" borderId="0"/>
    <xf numFmtId="0" fontId="38" fillId="0" borderId="0"/>
    <xf numFmtId="0" fontId="30" fillId="0" borderId="0"/>
    <xf numFmtId="0" fontId="38" fillId="0" borderId="0"/>
    <xf numFmtId="0" fontId="81" fillId="5" borderId="14" applyNumberFormat="0" applyAlignment="0" applyProtection="0"/>
    <xf numFmtId="0" fontId="81" fillId="5" borderId="14" applyNumberFormat="0" applyAlignment="0" applyProtection="0"/>
    <xf numFmtId="0" fontId="81" fillId="5" borderId="14" applyNumberFormat="0" applyAlignment="0" applyProtection="0"/>
    <xf numFmtId="0" fontId="81" fillId="5" borderId="14" applyNumberFormat="0" applyAlignment="0" applyProtection="0"/>
    <xf numFmtId="0" fontId="42" fillId="7" borderId="15" applyNumberFormat="0" applyAlignment="0" applyProtection="0"/>
    <xf numFmtId="0" fontId="42" fillId="7" borderId="15" applyNumberFormat="0" applyAlignment="0" applyProtection="0"/>
    <xf numFmtId="9" fontId="81" fillId="0" borderId="0" applyFill="0" applyBorder="0" applyAlignment="0" applyProtection="0"/>
    <xf numFmtId="9" fontId="81" fillId="0" borderId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47" fillId="0" borderId="16">
      <alignment horizontal="center"/>
    </xf>
    <xf numFmtId="0" fontId="47" fillId="0" borderId="17">
      <alignment horizontal="center"/>
    </xf>
    <xf numFmtId="0" fontId="75" fillId="0" borderId="0"/>
    <xf numFmtId="0" fontId="75" fillId="0" borderId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42" fillId="0" borderId="18" applyNumberFormat="0" applyFill="0" applyAlignment="0" applyProtection="0"/>
    <xf numFmtId="0" fontId="37" fillId="0" borderId="19" applyNumberFormat="0" applyFill="0" applyAlignment="0" applyProtection="0"/>
    <xf numFmtId="0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35" fillId="28" borderId="0" applyNumberFormat="0" applyBorder="0" applyAlignment="0" applyProtection="0"/>
    <xf numFmtId="0" fontId="35" fillId="28" borderId="0" applyNumberFormat="0" applyBorder="0" applyAlignment="0" applyProtection="0"/>
    <xf numFmtId="0" fontId="35" fillId="22" borderId="0" applyNumberFormat="0" applyBorder="0" applyAlignment="0" applyProtection="0"/>
    <xf numFmtId="0" fontId="35" fillId="22" borderId="0" applyNumberFormat="0" applyBorder="0" applyAlignment="0" applyProtection="0"/>
    <xf numFmtId="0" fontId="35" fillId="24" borderId="0" applyNumberFormat="0" applyBorder="0" applyAlignment="0" applyProtection="0"/>
    <xf numFmtId="0" fontId="35" fillId="24" borderId="0" applyNumberFormat="0" applyBorder="0" applyAlignment="0" applyProtection="0"/>
    <xf numFmtId="0" fontId="35" fillId="19" borderId="0" applyNumberFormat="0" applyBorder="0" applyAlignment="0" applyProtection="0"/>
    <xf numFmtId="0" fontId="35" fillId="19" borderId="0" applyNumberFormat="0" applyBorder="0" applyAlignment="0" applyProtection="0"/>
    <xf numFmtId="0" fontId="35" fillId="17" borderId="0" applyNumberFormat="0" applyBorder="0" applyAlignment="0" applyProtection="0"/>
    <xf numFmtId="0" fontId="35" fillId="17" borderId="0" applyNumberFormat="0" applyBorder="0" applyAlignment="0" applyProtection="0"/>
    <xf numFmtId="0" fontId="35" fillId="26" borderId="0" applyNumberFormat="0" applyBorder="0" applyAlignment="0" applyProtection="0"/>
    <xf numFmtId="0" fontId="35" fillId="26" borderId="0" applyNumberFormat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50" fillId="27" borderId="2" applyNumberFormat="0" applyAlignment="0" applyProtection="0"/>
    <xf numFmtId="0" fontId="50" fillId="27" borderId="2" applyNumberFormat="0" applyAlignment="0" applyProtection="0"/>
    <xf numFmtId="0" fontId="33" fillId="12" borderId="0" applyNumberFormat="0" applyBorder="0" applyAlignment="0" applyProtection="0"/>
    <xf numFmtId="0" fontId="33" fillId="12" borderId="0" applyNumberFormat="0" applyBorder="0" applyAlignment="0" applyProtection="0"/>
    <xf numFmtId="0" fontId="81" fillId="5" borderId="14" applyNumberFormat="0" applyAlignment="0" applyProtection="0"/>
    <xf numFmtId="0" fontId="81" fillId="5" borderId="14" applyNumberFormat="0" applyAlignment="0" applyProtection="0"/>
    <xf numFmtId="0" fontId="81" fillId="5" borderId="14" applyNumberFormat="0" applyAlignment="0" applyProtection="0"/>
    <xf numFmtId="0" fontId="81" fillId="5" borderId="14" applyNumberFormat="0" applyAlignment="0" applyProtection="0"/>
    <xf numFmtId="0" fontId="81" fillId="5" borderId="14" applyNumberFormat="0" applyAlignment="0" applyProtection="0"/>
    <xf numFmtId="0" fontId="81" fillId="5" borderId="14" applyNumberFormat="0" applyAlignment="0" applyProtection="0"/>
    <xf numFmtId="0" fontId="59" fillId="0" borderId="13" applyNumberFormat="0" applyFill="0" applyAlignment="0" applyProtection="0"/>
    <xf numFmtId="0" fontId="59" fillId="0" borderId="13" applyNumberFormat="0" applyFill="0" applyAlignment="0" applyProtection="0"/>
    <xf numFmtId="0" fontId="46" fillId="4" borderId="1" applyNumberFormat="0" applyAlignment="0" applyProtection="0"/>
    <xf numFmtId="0" fontId="46" fillId="4" borderId="1" applyNumberFormat="0" applyAlignment="0" applyProtection="0"/>
    <xf numFmtId="0" fontId="60" fillId="11" borderId="15" applyNumberFormat="0" applyAlignment="0" applyProtection="0"/>
    <xf numFmtId="0" fontId="60" fillId="11" borderId="15" applyNumberFormat="0" applyAlignment="0" applyProtection="0"/>
    <xf numFmtId="0" fontId="57" fillId="9" borderId="0" applyNumberFormat="0" applyBorder="0" applyAlignment="0" applyProtection="0"/>
    <xf numFmtId="0" fontId="57" fillId="10" borderId="0" applyNumberFormat="0" applyBorder="0" applyAlignment="0" applyProtection="0"/>
    <xf numFmtId="1" fontId="61" fillId="0" borderId="0"/>
    <xf numFmtId="0" fontId="56" fillId="0" borderId="0">
      <alignment vertical="center"/>
    </xf>
    <xf numFmtId="0" fontId="62" fillId="0" borderId="0">
      <alignment vertical="center"/>
    </xf>
    <xf numFmtId="0" fontId="62" fillId="0" borderId="0"/>
    <xf numFmtId="0" fontId="55" fillId="6" borderId="0" applyNumberFormat="0" applyBorder="0" applyAlignment="0" applyProtection="0"/>
    <xf numFmtId="0" fontId="55" fillId="6" borderId="0" applyNumberFormat="0" applyBorder="0" applyAlignment="0" applyProtection="0"/>
    <xf numFmtId="0" fontId="51" fillId="0" borderId="20" applyNumberFormat="0" applyFill="0" applyAlignment="0" applyProtection="0"/>
    <xf numFmtId="0" fontId="51" fillId="0" borderId="20" applyNumberFormat="0" applyFill="0" applyAlignment="0" applyProtection="0"/>
    <xf numFmtId="0" fontId="69" fillId="0" borderId="21" applyNumberFormat="0" applyFill="0" applyAlignment="0" applyProtection="0"/>
    <xf numFmtId="0" fontId="69" fillId="0" borderId="21" applyNumberFormat="0" applyFill="0" applyAlignment="0" applyProtection="0"/>
    <xf numFmtId="0" fontId="43" fillId="0" borderId="22" applyNumberFormat="0" applyFill="0" applyAlignment="0" applyProtection="0"/>
    <xf numFmtId="0" fontId="43" fillId="0" borderId="22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76" fillId="11" borderId="1" applyNumberFormat="0" applyAlignment="0" applyProtection="0"/>
    <xf numFmtId="0" fontId="76" fillId="11" borderId="1" applyNumberFormat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78" fillId="0" borderId="23" applyNumberFormat="0" applyFill="0" applyAlignment="0" applyProtection="0"/>
    <xf numFmtId="0" fontId="79" fillId="0" borderId="23" applyNumberFormat="0" applyFill="0" applyAlignment="0" applyProtection="0"/>
  </cellStyleXfs>
  <cellXfs count="587">
    <xf numFmtId="0" fontId="0" fillId="0" borderId="0" xfId="0"/>
    <xf numFmtId="0" fontId="0" fillId="0" borderId="0" xfId="0" applyFont="1"/>
    <xf numFmtId="0" fontId="1" fillId="29" borderId="0" xfId="0" applyFont="1" applyFill="1"/>
    <xf numFmtId="0" fontId="1" fillId="30" borderId="24" xfId="0" applyFont="1" applyFill="1" applyBorder="1" applyAlignment="1">
      <alignment horizontal="center" vertical="top"/>
    </xf>
    <xf numFmtId="0" fontId="0" fillId="0" borderId="24" xfId="0" applyFont="1" applyBorder="1" applyAlignment="1">
      <alignment horizontal="center" vertical="top"/>
    </xf>
    <xf numFmtId="0" fontId="2" fillId="0" borderId="24" xfId="187" applyFont="1" applyFill="1" applyBorder="1" applyAlignment="1">
      <alignment horizontal="left" vertical="top" wrapText="1"/>
    </xf>
    <xf numFmtId="0" fontId="0" fillId="0" borderId="24" xfId="0" applyFont="1" applyBorder="1" applyAlignment="1">
      <alignment horizontal="left" vertical="top"/>
    </xf>
    <xf numFmtId="0" fontId="2" fillId="0" borderId="24" xfId="187" applyFont="1" applyBorder="1" applyAlignment="1">
      <alignment horizontal="left" vertical="top" wrapText="1"/>
    </xf>
    <xf numFmtId="0" fontId="3" fillId="7" borderId="0" xfId="208" applyFont="1" applyFill="1" applyAlignment="1">
      <alignment vertical="center"/>
    </xf>
    <xf numFmtId="0" fontId="4" fillId="7" borderId="0" xfId="208" applyFont="1" applyFill="1" applyBorder="1" applyAlignment="1">
      <alignment vertical="center"/>
    </xf>
    <xf numFmtId="0" fontId="5" fillId="7" borderId="0" xfId="208" applyFont="1" applyFill="1" applyBorder="1" applyAlignment="1">
      <alignment vertical="center"/>
    </xf>
    <xf numFmtId="14" fontId="3" fillId="7" borderId="0" xfId="208" applyNumberFormat="1" applyFont="1" applyFill="1" applyAlignment="1">
      <alignment vertical="center"/>
    </xf>
    <xf numFmtId="0" fontId="81" fillId="7" borderId="16" xfId="208" applyFill="1" applyBorder="1" applyAlignment="1">
      <alignment vertical="center"/>
    </xf>
    <xf numFmtId="0" fontId="6" fillId="7" borderId="16" xfId="208" applyFont="1" applyFill="1" applyBorder="1" applyAlignment="1">
      <alignment vertical="center"/>
    </xf>
    <xf numFmtId="0" fontId="1" fillId="31" borderId="25" xfId="208" applyFont="1" applyFill="1" applyBorder="1" applyAlignment="1">
      <alignment horizontal="left" vertical="center"/>
    </xf>
    <xf numFmtId="0" fontId="1" fillId="31" borderId="26" xfId="208" applyFont="1" applyFill="1" applyBorder="1" applyAlignment="1">
      <alignment vertical="center"/>
    </xf>
    <xf numFmtId="0" fontId="1" fillId="31" borderId="27" xfId="208" applyFont="1" applyFill="1" applyBorder="1" applyAlignment="1">
      <alignment vertical="center"/>
    </xf>
    <xf numFmtId="0" fontId="7" fillId="31" borderId="27" xfId="208" applyFont="1" applyFill="1" applyBorder="1" applyAlignment="1">
      <alignment vertical="center"/>
    </xf>
    <xf numFmtId="0" fontId="0" fillId="7" borderId="28" xfId="210" applyFont="1" applyFill="1" applyBorder="1" applyAlignment="1">
      <alignment vertical="center"/>
    </xf>
    <xf numFmtId="0" fontId="0" fillId="7" borderId="0" xfId="210" applyFont="1" applyFill="1" applyBorder="1" applyAlignment="1">
      <alignment vertical="center"/>
    </xf>
    <xf numFmtId="0" fontId="0" fillId="7" borderId="29" xfId="210" applyFont="1" applyFill="1" applyBorder="1" applyAlignment="1">
      <alignment horizontal="center" vertical="center" wrapText="1"/>
    </xf>
    <xf numFmtId="0" fontId="0" fillId="7" borderId="30" xfId="210" applyFont="1" applyFill="1" applyBorder="1" applyAlignment="1">
      <alignment vertical="center"/>
    </xf>
    <xf numFmtId="0" fontId="0" fillId="7" borderId="31" xfId="210" applyFont="1" applyFill="1" applyBorder="1" applyAlignment="1">
      <alignment vertical="center"/>
    </xf>
    <xf numFmtId="0" fontId="0" fillId="7" borderId="32" xfId="210" applyFont="1" applyFill="1" applyBorder="1" applyAlignment="1">
      <alignment horizontal="center" vertical="center" wrapText="1"/>
    </xf>
    <xf numFmtId="0" fontId="81" fillId="0" borderId="0" xfId="191"/>
    <xf numFmtId="0" fontId="7" fillId="31" borderId="26" xfId="208" applyFont="1" applyFill="1" applyBorder="1" applyAlignment="1">
      <alignment vertical="center"/>
    </xf>
    <xf numFmtId="0" fontId="81" fillId="0" borderId="28" xfId="191" applyBorder="1"/>
    <xf numFmtId="0" fontId="0" fillId="7" borderId="0" xfId="208" applyFont="1" applyFill="1" applyBorder="1" applyAlignment="1">
      <alignment vertical="center"/>
    </xf>
    <xf numFmtId="0" fontId="8" fillId="7" borderId="0" xfId="208" applyFont="1" applyFill="1" applyBorder="1" applyAlignment="1">
      <alignment vertical="center"/>
    </xf>
    <xf numFmtId="0" fontId="81" fillId="0" borderId="0" xfId="191" applyBorder="1"/>
    <xf numFmtId="0" fontId="81" fillId="7" borderId="30" xfId="208" applyFill="1" applyBorder="1" applyAlignment="1">
      <alignment vertical="center"/>
    </xf>
    <xf numFmtId="0" fontId="9" fillId="0" borderId="0" xfId="161" applyNumberFormat="1" applyFont="1" applyFill="1" applyBorder="1" applyAlignment="1" applyProtection="1">
      <alignment horizontal="left" vertical="center"/>
    </xf>
    <xf numFmtId="0" fontId="81" fillId="7" borderId="0" xfId="208" applyFill="1" applyBorder="1" applyAlignment="1">
      <alignment vertical="center"/>
    </xf>
    <xf numFmtId="0" fontId="7" fillId="31" borderId="33" xfId="208" applyFont="1" applyFill="1" applyBorder="1" applyAlignment="1">
      <alignment vertical="center"/>
    </xf>
    <xf numFmtId="0" fontId="0" fillId="7" borderId="0" xfId="210" applyFont="1" applyFill="1" applyAlignment="1">
      <alignment vertical="center"/>
    </xf>
    <xf numFmtId="0" fontId="81" fillId="7" borderId="34" xfId="208" applyFill="1" applyBorder="1" applyAlignment="1">
      <alignment vertical="center"/>
    </xf>
    <xf numFmtId="0" fontId="81" fillId="7" borderId="35" xfId="208" applyFill="1" applyBorder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ont="1" applyAlignment="1">
      <alignment horizontal="center" vertical="top"/>
    </xf>
    <xf numFmtId="0" fontId="0" fillId="0" borderId="0" xfId="0" applyAlignment="1">
      <alignment horizontal="left"/>
    </xf>
    <xf numFmtId="0" fontId="13" fillId="7" borderId="0" xfId="0" applyFont="1" applyFill="1" applyBorder="1" applyAlignment="1">
      <alignment vertical="top"/>
    </xf>
    <xf numFmtId="0" fontId="14" fillId="7" borderId="0" xfId="0" applyFont="1" applyFill="1" applyBorder="1" applyAlignment="1" applyProtection="1">
      <alignment vertical="top"/>
      <protection locked="0"/>
    </xf>
    <xf numFmtId="0" fontId="15" fillId="7" borderId="0" xfId="0" applyFont="1" applyFill="1" applyBorder="1" applyAlignment="1">
      <alignment vertical="top"/>
    </xf>
    <xf numFmtId="0" fontId="16" fillId="0" borderId="0" xfId="0" applyFont="1" applyAlignment="1" applyProtection="1">
      <alignment vertical="top"/>
      <protection locked="0"/>
    </xf>
    <xf numFmtId="0" fontId="0" fillId="0" borderId="0" xfId="0" applyFont="1" applyAlignment="1">
      <alignment vertical="top"/>
    </xf>
    <xf numFmtId="0" fontId="6" fillId="0" borderId="0" xfId="0" applyFont="1" applyAlignment="1">
      <alignment vertical="top"/>
    </xf>
    <xf numFmtId="0" fontId="0" fillId="0" borderId="0" xfId="0" applyAlignment="1">
      <alignment vertical="top"/>
    </xf>
    <xf numFmtId="0" fontId="17" fillId="0" borderId="0" xfId="157" applyNumberFormat="1" applyFont="1" applyFill="1" applyBorder="1" applyAlignment="1" applyProtection="1">
      <alignment horizontal="center"/>
    </xf>
    <xf numFmtId="0" fontId="0" fillId="0" borderId="0" xfId="0" applyFont="1" applyBorder="1" applyAlignment="1">
      <alignment horizontal="center" vertical="top"/>
    </xf>
    <xf numFmtId="0" fontId="18" fillId="0" borderId="0" xfId="0" applyFont="1" applyBorder="1" applyAlignment="1">
      <alignment horizontal="right"/>
    </xf>
    <xf numFmtId="15" fontId="18" fillId="0" borderId="0" xfId="0" applyNumberFormat="1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30" borderId="36" xfId="0" applyFont="1" applyFill="1" applyBorder="1" applyAlignment="1">
      <alignment horizontal="center" vertical="top"/>
    </xf>
    <xf numFmtId="0" fontId="1" fillId="30" borderId="37" xfId="0" applyFont="1" applyFill="1" applyBorder="1" applyAlignment="1">
      <alignment horizontal="left" vertical="center"/>
    </xf>
    <xf numFmtId="0" fontId="6" fillId="0" borderId="0" xfId="0" applyFont="1" applyBorder="1" applyAlignment="1" applyProtection="1">
      <alignment horizontal="center"/>
      <protection locked="0"/>
    </xf>
    <xf numFmtId="0" fontId="6" fillId="2" borderId="38" xfId="0" applyFont="1" applyFill="1" applyBorder="1" applyAlignment="1" applyProtection="1">
      <alignment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19" fillId="4" borderId="24" xfId="0" applyFont="1" applyFill="1" applyBorder="1" applyAlignment="1" applyProtection="1">
      <alignment horizontal="center" vertical="center"/>
      <protection locked="0"/>
    </xf>
    <xf numFmtId="0" fontId="20" fillId="4" borderId="39" xfId="0" applyFont="1" applyFill="1" applyBorder="1" applyAlignment="1" applyProtection="1">
      <alignment horizontal="center" vertical="top"/>
      <protection locked="0"/>
    </xf>
    <xf numFmtId="0" fontId="0" fillId="4" borderId="40" xfId="0" applyFont="1" applyFill="1" applyBorder="1" applyAlignment="1" applyProtection="1">
      <alignment horizontal="center" vertical="top" wrapText="1"/>
      <protection locked="0"/>
    </xf>
    <xf numFmtId="0" fontId="0" fillId="0" borderId="0" xfId="0" applyBorder="1" applyProtection="1">
      <protection locked="0"/>
    </xf>
    <xf numFmtId="0" fontId="0" fillId="4" borderId="41" xfId="0" applyFont="1" applyFill="1" applyBorder="1" applyAlignment="1" applyProtection="1">
      <alignment horizontal="center" vertical="top" wrapText="1"/>
      <protection locked="0"/>
    </xf>
    <xf numFmtId="0" fontId="0" fillId="7" borderId="41" xfId="0" applyFont="1" applyFill="1" applyBorder="1" applyAlignment="1" applyProtection="1">
      <alignment horizontal="left" vertical="top" wrapText="1"/>
      <protection locked="0"/>
    </xf>
    <xf numFmtId="0" fontId="20" fillId="4" borderId="24" xfId="0" applyFont="1" applyFill="1" applyBorder="1" applyAlignment="1" applyProtection="1">
      <alignment horizontal="center"/>
      <protection locked="0"/>
    </xf>
    <xf numFmtId="0" fontId="0" fillId="7" borderId="42" xfId="0" applyFont="1" applyFill="1" applyBorder="1" applyAlignment="1" applyProtection="1">
      <alignment horizontal="left"/>
      <protection locked="0"/>
    </xf>
    <xf numFmtId="0" fontId="0" fillId="7" borderId="24" xfId="0" applyFont="1" applyFill="1" applyBorder="1" applyAlignment="1" applyProtection="1">
      <alignment horizontal="left"/>
      <protection locked="0"/>
    </xf>
    <xf numFmtId="0" fontId="0" fillId="4" borderId="24" xfId="0" applyFont="1" applyFill="1" applyBorder="1" applyAlignment="1" applyProtection="1">
      <alignment horizontal="center" vertical="top" wrapText="1"/>
      <protection locked="0"/>
    </xf>
    <xf numFmtId="0" fontId="0" fillId="7" borderId="24" xfId="0" applyFont="1" applyFill="1" applyBorder="1" applyAlignment="1" applyProtection="1">
      <alignment horizontal="left" vertical="top" wrapText="1"/>
      <protection locked="0"/>
    </xf>
    <xf numFmtId="0" fontId="0" fillId="7" borderId="42" xfId="0" applyFont="1" applyFill="1" applyBorder="1" applyAlignment="1" applyProtection="1">
      <alignment horizontal="left" vertical="top" wrapText="1"/>
      <protection locked="0"/>
    </xf>
    <xf numFmtId="0" fontId="0" fillId="7" borderId="0" xfId="0" applyFont="1" applyFill="1"/>
    <xf numFmtId="0" fontId="6" fillId="7" borderId="0" xfId="0" applyFont="1" applyFill="1" applyBorder="1"/>
    <xf numFmtId="0" fontId="0" fillId="7" borderId="0" xfId="0" applyFont="1" applyFill="1" applyBorder="1" applyAlignment="1" applyProtection="1">
      <alignment horizontal="left"/>
      <protection locked="0"/>
    </xf>
    <xf numFmtId="0" fontId="0" fillId="7" borderId="0" xfId="0" applyFill="1"/>
    <xf numFmtId="0" fontId="0" fillId="7" borderId="0" xfId="0" applyFont="1" applyFill="1" applyAlignment="1">
      <alignment horizontal="center"/>
    </xf>
    <xf numFmtId="0" fontId="14" fillId="7" borderId="0" xfId="0" applyFont="1" applyFill="1" applyBorder="1" applyAlignment="1">
      <alignment horizontal="center" vertical="top"/>
    </xf>
    <xf numFmtId="0" fontId="6" fillId="7" borderId="0" xfId="0" applyFont="1" applyFill="1" applyBorder="1" applyAlignment="1">
      <alignment vertical="top"/>
    </xf>
    <xf numFmtId="0" fontId="0" fillId="7" borderId="0" xfId="0" applyFont="1" applyFill="1" applyBorder="1" applyAlignment="1">
      <alignment vertical="top"/>
    </xf>
    <xf numFmtId="0" fontId="1" fillId="30" borderId="43" xfId="0" applyFont="1" applyFill="1" applyBorder="1" applyAlignment="1">
      <alignment horizontal="center" vertical="center" wrapText="1"/>
    </xf>
    <xf numFmtId="0" fontId="1" fillId="30" borderId="44" xfId="0" applyFont="1" applyFill="1" applyBorder="1" applyAlignment="1">
      <alignment horizontal="center" vertical="center" wrapText="1"/>
    </xf>
    <xf numFmtId="0" fontId="1" fillId="7" borderId="0" xfId="0" applyFont="1" applyFill="1" applyBorder="1" applyAlignment="1">
      <alignment horizontal="center" vertical="center" wrapText="1"/>
    </xf>
    <xf numFmtId="0" fontId="6" fillId="2" borderId="45" xfId="0" applyFont="1" applyFill="1" applyBorder="1" applyAlignment="1">
      <alignment horizontal="right" vertical="top"/>
    </xf>
    <xf numFmtId="0" fontId="0" fillId="7" borderId="46" xfId="0" applyFont="1" applyFill="1" applyBorder="1" applyAlignment="1" applyProtection="1">
      <alignment vertical="top"/>
      <protection locked="0"/>
    </xf>
    <xf numFmtId="0" fontId="6" fillId="2" borderId="47" xfId="0" applyFont="1" applyFill="1" applyBorder="1" applyAlignment="1">
      <alignment horizontal="right" vertical="center" wrapText="1"/>
    </xf>
    <xf numFmtId="1" fontId="0" fillId="4" borderId="48" xfId="0" applyNumberFormat="1" applyFont="1" applyFill="1" applyBorder="1" applyAlignment="1">
      <alignment horizontal="right" vertical="center" wrapText="1"/>
    </xf>
    <xf numFmtId="169" fontId="0" fillId="4" borderId="46" xfId="0" applyNumberFormat="1" applyFont="1" applyFill="1" applyBorder="1" applyAlignment="1">
      <alignment horizontal="center" vertical="center" wrapText="1"/>
    </xf>
    <xf numFmtId="0" fontId="6" fillId="2" borderId="49" xfId="0" applyFont="1" applyFill="1" applyBorder="1" applyAlignment="1">
      <alignment horizontal="right"/>
    </xf>
    <xf numFmtId="0" fontId="0" fillId="7" borderId="50" xfId="0" applyFont="1" applyFill="1" applyBorder="1" applyAlignment="1" applyProtection="1">
      <alignment horizontal="left"/>
      <protection locked="0"/>
    </xf>
    <xf numFmtId="0" fontId="0" fillId="7" borderId="0" xfId="0" applyFont="1" applyFill="1" applyBorder="1" applyAlignment="1">
      <alignment horizontal="left"/>
    </xf>
    <xf numFmtId="0" fontId="6" fillId="2" borderId="51" xfId="0" applyFont="1" applyFill="1" applyBorder="1" applyAlignment="1">
      <alignment horizontal="right" vertical="center" wrapText="1"/>
    </xf>
    <xf numFmtId="1" fontId="0" fillId="4" borderId="52" xfId="0" applyNumberFormat="1" applyFont="1" applyFill="1" applyBorder="1" applyAlignment="1">
      <alignment horizontal="right" vertical="center" wrapText="1"/>
    </xf>
    <xf numFmtId="169" fontId="0" fillId="4" borderId="50" xfId="0" applyNumberFormat="1" applyFont="1" applyFill="1" applyBorder="1" applyAlignment="1">
      <alignment horizontal="right" vertical="center" wrapText="1"/>
    </xf>
    <xf numFmtId="0" fontId="6" fillId="2" borderId="53" xfId="0" applyFont="1" applyFill="1" applyBorder="1" applyAlignment="1">
      <alignment horizontal="right"/>
    </xf>
    <xf numFmtId="0" fontId="0" fillId="7" borderId="46" xfId="0" applyFont="1" applyFill="1" applyBorder="1" applyAlignment="1" applyProtection="1">
      <alignment horizontal="left"/>
      <protection locked="0"/>
    </xf>
    <xf numFmtId="15" fontId="0" fillId="7" borderId="50" xfId="0" applyNumberFormat="1" applyFont="1" applyFill="1" applyBorder="1" applyAlignment="1" applyProtection="1">
      <alignment horizontal="left"/>
      <protection locked="0"/>
    </xf>
    <xf numFmtId="15" fontId="0" fillId="7" borderId="0" xfId="0" applyNumberFormat="1" applyFont="1" applyFill="1" applyBorder="1" applyAlignment="1">
      <alignment horizontal="left"/>
    </xf>
    <xf numFmtId="0" fontId="6" fillId="2" borderId="54" xfId="0" applyFont="1" applyFill="1" applyBorder="1" applyAlignment="1">
      <alignment horizontal="right" vertical="center" wrapText="1"/>
    </xf>
    <xf numFmtId="1" fontId="0" fillId="4" borderId="55" xfId="0" applyNumberFormat="1" applyFont="1" applyFill="1" applyBorder="1" applyAlignment="1">
      <alignment horizontal="right" vertical="center" wrapText="1"/>
    </xf>
    <xf numFmtId="0" fontId="0" fillId="0" borderId="0" xfId="0" applyBorder="1" applyAlignment="1">
      <alignment vertical="top"/>
    </xf>
    <xf numFmtId="170" fontId="0" fillId="11" borderId="56" xfId="0" applyNumberFormat="1" applyFont="1" applyFill="1" applyBorder="1" applyAlignment="1" applyProtection="1">
      <alignment vertical="center"/>
      <protection locked="0"/>
    </xf>
    <xf numFmtId="170" fontId="18" fillId="4" borderId="24" xfId="0" applyNumberFormat="1" applyFont="1" applyFill="1" applyBorder="1" applyAlignment="1" applyProtection="1">
      <alignment horizontal="center" vertical="center"/>
      <protection locked="0"/>
    </xf>
    <xf numFmtId="0" fontId="0" fillId="32" borderId="57" xfId="0" applyFont="1" applyFill="1" applyBorder="1" applyAlignment="1" applyProtection="1">
      <alignment vertical="center" wrapText="1"/>
      <protection locked="0"/>
    </xf>
    <xf numFmtId="0" fontId="0" fillId="7" borderId="0" xfId="0" applyFont="1" applyFill="1" applyBorder="1" applyAlignment="1">
      <alignment vertical="center"/>
    </xf>
    <xf numFmtId="0" fontId="0" fillId="7" borderId="0" xfId="0" applyFont="1" applyFill="1" applyBorder="1"/>
    <xf numFmtId="0" fontId="21" fillId="0" borderId="0" xfId="0" applyFont="1" applyBorder="1" applyAlignment="1">
      <alignment vertical="center"/>
    </xf>
    <xf numFmtId="0" fontId="0" fillId="7" borderId="0" xfId="0" applyFill="1" applyBorder="1"/>
    <xf numFmtId="0" fontId="1" fillId="30" borderId="24" xfId="0" applyFont="1" applyFill="1" applyBorder="1" applyAlignment="1" applyProtection="1">
      <alignment horizontal="center" vertical="center" wrapText="1"/>
    </xf>
    <xf numFmtId="0" fontId="1" fillId="30" borderId="24" xfId="0" applyFont="1" applyFill="1" applyBorder="1" applyAlignment="1" applyProtection="1">
      <alignment horizontal="center" vertical="center"/>
    </xf>
    <xf numFmtId="170" fontId="6" fillId="11" borderId="24" xfId="0" applyNumberFormat="1" applyFont="1" applyFill="1" applyBorder="1" applyAlignment="1" applyProtection="1">
      <alignment vertical="center"/>
      <protection locked="0"/>
    </xf>
    <xf numFmtId="170" fontId="6" fillId="11" borderId="42" xfId="0" applyNumberFormat="1" applyFont="1" applyFill="1" applyBorder="1" applyAlignment="1" applyProtection="1">
      <alignment vertical="center"/>
      <protection locked="0"/>
    </xf>
    <xf numFmtId="0" fontId="0" fillId="7" borderId="0" xfId="0" applyFont="1" applyFill="1" applyBorder="1" applyAlignment="1">
      <alignment horizontal="center"/>
    </xf>
    <xf numFmtId="0" fontId="11" fillId="7" borderId="0" xfId="0" applyFont="1" applyFill="1" applyBorder="1"/>
    <xf numFmtId="0" fontId="11" fillId="7" borderId="43" xfId="0" applyFont="1" applyFill="1" applyBorder="1"/>
    <xf numFmtId="0" fontId="8" fillId="7" borderId="58" xfId="0" applyFont="1" applyFill="1" applyBorder="1" applyAlignment="1" applyProtection="1">
      <alignment horizontal="left"/>
      <protection locked="0"/>
    </xf>
    <xf numFmtId="0" fontId="8" fillId="7" borderId="0" xfId="0" applyFont="1" applyFill="1" applyBorder="1" applyAlignment="1" applyProtection="1">
      <alignment horizontal="left"/>
      <protection locked="0"/>
    </xf>
    <xf numFmtId="0" fontId="23" fillId="0" borderId="59" xfId="0" applyFont="1" applyBorder="1" applyAlignment="1">
      <alignment horizontal="right" vertical="center" wrapText="1"/>
    </xf>
    <xf numFmtId="0" fontId="23" fillId="0" borderId="60" xfId="0" applyFont="1" applyBorder="1" applyAlignment="1">
      <alignment horizontal="right" vertical="center" wrapText="1"/>
    </xf>
    <xf numFmtId="0" fontId="22" fillId="0" borderId="0" xfId="0" applyFont="1" applyBorder="1" applyAlignment="1">
      <alignment wrapText="1"/>
    </xf>
    <xf numFmtId="0" fontId="22" fillId="0" borderId="0" xfId="0" applyFont="1" applyBorder="1" applyAlignment="1">
      <alignment horizontal="center" wrapText="1"/>
    </xf>
    <xf numFmtId="0" fontId="23" fillId="0" borderId="61" xfId="0" applyFont="1" applyBorder="1" applyAlignment="1">
      <alignment horizontal="right" wrapText="1"/>
    </xf>
    <xf numFmtId="0" fontId="0" fillId="0" borderId="0" xfId="0" applyBorder="1" applyAlignment="1">
      <alignment horizontal="right"/>
    </xf>
    <xf numFmtId="0" fontId="23" fillId="0" borderId="0" xfId="0" applyFont="1" applyBorder="1" applyAlignment="1">
      <alignment horizontal="right" wrapText="1"/>
    </xf>
    <xf numFmtId="0" fontId="27" fillId="0" borderId="56" xfId="0" applyFont="1" applyBorder="1" applyAlignment="1">
      <alignment horizontal="center" vertical="center" wrapText="1"/>
    </xf>
    <xf numFmtId="0" fontId="27" fillId="0" borderId="24" xfId="0" applyFont="1" applyBorder="1" applyAlignment="1">
      <alignment horizontal="center" vertical="center" wrapText="1"/>
    </xf>
    <xf numFmtId="0" fontId="27" fillId="0" borderId="42" xfId="0" applyFont="1" applyBorder="1" applyAlignment="1">
      <alignment horizontal="center" vertical="center" wrapText="1"/>
    </xf>
    <xf numFmtId="49" fontId="22" fillId="0" borderId="56" xfId="191" applyNumberFormat="1" applyFont="1" applyBorder="1" applyAlignment="1">
      <alignment horizontal="center" vertical="center" wrapText="1"/>
    </xf>
    <xf numFmtId="0" fontId="22" fillId="0" borderId="24" xfId="191" applyFont="1" applyBorder="1" applyAlignment="1">
      <alignment vertical="center" wrapText="1"/>
    </xf>
    <xf numFmtId="0" fontId="22" fillId="0" borderId="24" xfId="191" applyFont="1" applyBorder="1" applyAlignment="1">
      <alignment horizontal="center" vertical="center" wrapText="1"/>
    </xf>
    <xf numFmtId="14" fontId="22" fillId="0" borderId="24" xfId="191" applyNumberFormat="1" applyFont="1" applyBorder="1" applyAlignment="1">
      <alignment horizontal="center" vertical="center" wrapText="1"/>
    </xf>
    <xf numFmtId="0" fontId="22" fillId="0" borderId="56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14" fontId="22" fillId="0" borderId="24" xfId="0" applyNumberFormat="1" applyFont="1" applyBorder="1" applyAlignment="1">
      <alignment horizontal="center" vertical="center" wrapText="1"/>
    </xf>
    <xf numFmtId="0" fontId="29" fillId="0" borderId="0" xfId="0" applyFont="1" applyFill="1" applyBorder="1" applyAlignment="1">
      <alignment vertical="center"/>
    </xf>
    <xf numFmtId="0" fontId="29" fillId="0" borderId="0" xfId="0" applyFont="1" applyFill="1" applyBorder="1" applyAlignment="1"/>
    <xf numFmtId="0" fontId="0" fillId="7" borderId="56" xfId="0" applyFill="1" applyBorder="1" applyAlignment="1" applyProtection="1">
      <alignment vertical="center" wrapText="1"/>
      <protection locked="0"/>
    </xf>
    <xf numFmtId="0" fontId="0" fillId="32" borderId="40" xfId="0" quotePrefix="1" applyFont="1" applyFill="1" applyBorder="1" applyAlignment="1" applyProtection="1">
      <alignment horizontal="left" vertical="top" wrapText="1"/>
      <protection locked="0"/>
    </xf>
    <xf numFmtId="0" fontId="0" fillId="32" borderId="39" xfId="0" quotePrefix="1" applyFill="1" applyBorder="1" applyAlignment="1" applyProtection="1">
      <alignment horizontal="left" vertical="top" wrapText="1"/>
      <protection locked="0"/>
    </xf>
    <xf numFmtId="0" fontId="0" fillId="32" borderId="62" xfId="0" quotePrefix="1" applyFill="1" applyBorder="1" applyAlignment="1" applyProtection="1">
      <alignment horizontal="left" vertical="top" wrapText="1"/>
      <protection locked="0"/>
    </xf>
    <xf numFmtId="0" fontId="6" fillId="6" borderId="63" xfId="0" applyFont="1" applyFill="1" applyBorder="1" applyAlignment="1">
      <alignment horizontal="center" vertical="center" wrapText="1"/>
    </xf>
    <xf numFmtId="0" fontId="6" fillId="6" borderId="64" xfId="0" applyFont="1" applyFill="1" applyBorder="1" applyAlignment="1">
      <alignment horizontal="center" vertical="center" wrapText="1"/>
    </xf>
    <xf numFmtId="0" fontId="0" fillId="4" borderId="24" xfId="0" applyFill="1" applyBorder="1" applyAlignment="1" applyProtection="1">
      <alignment horizontal="center" vertical="center"/>
      <protection locked="0"/>
    </xf>
    <xf numFmtId="171" fontId="0" fillId="7" borderId="65" xfId="0" applyNumberFormat="1" applyFill="1" applyBorder="1" applyAlignment="1" applyProtection="1">
      <alignment horizontal="center" vertical="center"/>
      <protection locked="0"/>
    </xf>
    <xf numFmtId="0" fontId="0" fillId="4" borderId="65" xfId="0" applyFill="1" applyBorder="1" applyAlignment="1" applyProtection="1">
      <alignment horizontal="center" vertical="center"/>
      <protection locked="0"/>
    </xf>
    <xf numFmtId="0" fontId="0" fillId="33" borderId="66" xfId="0" applyFont="1" applyFill="1" applyBorder="1"/>
    <xf numFmtId="0" fontId="19" fillId="4" borderId="65" xfId="0" applyFont="1" applyFill="1" applyBorder="1" applyAlignment="1" applyProtection="1">
      <alignment horizontal="center" vertical="center"/>
      <protection locked="0"/>
    </xf>
    <xf numFmtId="0" fontId="20" fillId="4" borderId="139" xfId="0" applyFont="1" applyFill="1" applyBorder="1" applyAlignment="1" applyProtection="1">
      <alignment horizontal="center" vertical="top"/>
      <protection locked="0"/>
    </xf>
    <xf numFmtId="0" fontId="0" fillId="32" borderId="140" xfId="0" quotePrefix="1" applyFill="1" applyBorder="1" applyAlignment="1" applyProtection="1">
      <alignment horizontal="left" vertical="top" wrapText="1"/>
      <protection locked="0"/>
    </xf>
    <xf numFmtId="0" fontId="0" fillId="4" borderId="141" xfId="0" applyFont="1" applyFill="1" applyBorder="1" applyAlignment="1" applyProtection="1">
      <alignment horizontal="center" vertical="top" wrapText="1"/>
      <protection locked="0"/>
    </xf>
    <xf numFmtId="0" fontId="0" fillId="32" borderId="142" xfId="0" quotePrefix="1" applyFill="1" applyBorder="1" applyAlignment="1" applyProtection="1">
      <alignment horizontal="left" vertical="top" wrapText="1"/>
      <protection locked="0"/>
    </xf>
    <xf numFmtId="0" fontId="0" fillId="4" borderId="143" xfId="0" applyFont="1" applyFill="1" applyBorder="1" applyAlignment="1" applyProtection="1">
      <alignment horizontal="center" vertical="top" wrapText="1"/>
      <protection locked="0"/>
    </xf>
    <xf numFmtId="0" fontId="0" fillId="7" borderId="144" xfId="0" applyFont="1" applyFill="1" applyBorder="1" applyAlignment="1" applyProtection="1">
      <alignment horizontal="left" vertical="top" wrapText="1"/>
      <protection locked="0"/>
    </xf>
    <xf numFmtId="0" fontId="0" fillId="32" borderId="142" xfId="0" quotePrefix="1" applyFont="1" applyFill="1" applyBorder="1" applyAlignment="1" applyProtection="1">
      <alignment horizontal="left" vertical="top" wrapText="1"/>
      <protection locked="0"/>
    </xf>
    <xf numFmtId="0" fontId="19" fillId="4" borderId="68" xfId="0" applyFont="1" applyFill="1" applyBorder="1" applyAlignment="1" applyProtection="1">
      <alignment horizontal="center" vertical="center"/>
      <protection locked="0"/>
    </xf>
    <xf numFmtId="0" fontId="8" fillId="0" borderId="61" xfId="0" applyFont="1" applyFill="1" applyBorder="1" applyAlignment="1" applyProtection="1">
      <alignment horizontal="left" vertical="top" wrapText="1"/>
      <protection locked="0"/>
    </xf>
    <xf numFmtId="0" fontId="8" fillId="0" borderId="69" xfId="0" applyFont="1" applyFill="1" applyBorder="1" applyAlignment="1" applyProtection="1">
      <alignment horizontal="left" vertical="top" wrapText="1"/>
      <protection locked="0"/>
    </xf>
    <xf numFmtId="0" fontId="0" fillId="0" borderId="62" xfId="0" quotePrefix="1" applyBorder="1" applyAlignment="1" applyProtection="1">
      <alignment horizontal="left" vertical="top" wrapText="1"/>
      <protection locked="0"/>
    </xf>
    <xf numFmtId="0" fontId="0" fillId="0" borderId="70" xfId="0" quotePrefix="1" applyBorder="1" applyAlignment="1" applyProtection="1">
      <alignment horizontal="left" vertical="top" wrapText="1"/>
      <protection locked="0"/>
    </xf>
    <xf numFmtId="0" fontId="0" fillId="0" borderId="71" xfId="0" quotePrefix="1" applyBorder="1" applyAlignment="1" applyProtection="1">
      <alignment horizontal="left" vertical="top" wrapText="1"/>
      <protection locked="0"/>
    </xf>
    <xf numFmtId="0" fontId="0" fillId="0" borderId="72" xfId="0" quotePrefix="1" applyBorder="1" applyAlignment="1" applyProtection="1">
      <alignment horizontal="left" vertical="top" wrapText="1"/>
      <protection locked="0"/>
    </xf>
    <xf numFmtId="0" fontId="0" fillId="0" borderId="73" xfId="0" quotePrefix="1" applyBorder="1" applyAlignment="1" applyProtection="1">
      <alignment horizontal="left" vertical="top" wrapText="1"/>
      <protection locked="0"/>
    </xf>
    <xf numFmtId="0" fontId="92" fillId="0" borderId="70" xfId="0" quotePrefix="1" applyFont="1" applyBorder="1" applyAlignment="1" applyProtection="1">
      <alignment horizontal="left" vertical="top" wrapText="1"/>
      <protection locked="0"/>
    </xf>
    <xf numFmtId="0" fontId="83" fillId="0" borderId="61" xfId="0" quotePrefix="1" applyFont="1" applyFill="1" applyBorder="1" applyAlignment="1" applyProtection="1">
      <alignment horizontal="left" vertical="top" wrapText="1"/>
      <protection locked="0"/>
    </xf>
    <xf numFmtId="0" fontId="81" fillId="32" borderId="70" xfId="157" quotePrefix="1" applyNumberFormat="1" applyFont="1" applyFill="1" applyBorder="1" applyAlignment="1" applyProtection="1">
      <alignment horizontal="left" vertical="top" wrapText="1"/>
      <protection locked="0"/>
    </xf>
    <xf numFmtId="0" fontId="81" fillId="32" borderId="71" xfId="157" quotePrefix="1" applyNumberFormat="1" applyFont="1" applyFill="1" applyBorder="1" applyAlignment="1" applyProtection="1">
      <alignment horizontal="left" vertical="top" wrapText="1"/>
      <protection locked="0"/>
    </xf>
    <xf numFmtId="0" fontId="0" fillId="32" borderId="40" xfId="0" quotePrefix="1" applyFill="1" applyBorder="1" applyAlignment="1" applyProtection="1">
      <alignment horizontal="left" vertical="top" wrapText="1"/>
      <protection locked="0"/>
    </xf>
    <xf numFmtId="0" fontId="0" fillId="32" borderId="74" xfId="0" quotePrefix="1" applyFill="1" applyBorder="1" applyAlignment="1" applyProtection="1">
      <alignment horizontal="left" vertical="top" wrapText="1"/>
      <protection locked="0"/>
    </xf>
    <xf numFmtId="0" fontId="0" fillId="0" borderId="74" xfId="0" quotePrefix="1" applyBorder="1" applyAlignment="1" applyProtection="1">
      <alignment horizontal="left" vertical="top" wrapText="1"/>
      <protection locked="0"/>
    </xf>
    <xf numFmtId="0" fontId="0" fillId="32" borderId="75" xfId="0" quotePrefix="1" applyFill="1" applyBorder="1" applyAlignment="1" applyProtection="1">
      <alignment horizontal="left" vertical="top" wrapText="1"/>
      <protection locked="0"/>
    </xf>
    <xf numFmtId="0" fontId="0" fillId="32" borderId="76" xfId="0" quotePrefix="1" applyFill="1" applyBorder="1" applyAlignment="1" applyProtection="1">
      <alignment horizontal="left" vertical="top" wrapText="1"/>
      <protection locked="0"/>
    </xf>
    <xf numFmtId="0" fontId="0" fillId="0" borderId="75" xfId="0" quotePrefix="1" applyBorder="1" applyAlignment="1" applyProtection="1">
      <alignment horizontal="left" vertical="top" wrapText="1"/>
      <protection locked="0"/>
    </xf>
    <xf numFmtId="0" fontId="0" fillId="0" borderId="76" xfId="0" quotePrefix="1" applyBorder="1" applyAlignment="1" applyProtection="1">
      <alignment horizontal="left" vertical="top" wrapText="1"/>
      <protection locked="0"/>
    </xf>
    <xf numFmtId="0" fontId="20" fillId="4" borderId="141" xfId="0" applyFont="1" applyFill="1" applyBorder="1" applyAlignment="1" applyProtection="1">
      <alignment horizontal="center" vertical="top"/>
      <protection locked="0"/>
    </xf>
    <xf numFmtId="0" fontId="10" fillId="32" borderId="75" xfId="157" quotePrefix="1" applyFill="1" applyBorder="1" applyAlignment="1" applyProtection="1">
      <alignment horizontal="left" vertical="top" wrapText="1"/>
      <protection locked="0"/>
    </xf>
    <xf numFmtId="0" fontId="10" fillId="32" borderId="76" xfId="157" quotePrefix="1" applyFill="1" applyBorder="1" applyAlignment="1" applyProtection="1">
      <alignment horizontal="left" vertical="top" wrapText="1"/>
      <protection locked="0"/>
    </xf>
    <xf numFmtId="0" fontId="0" fillId="0" borderId="40" xfId="0" quotePrefix="1" applyBorder="1" applyAlignment="1" applyProtection="1">
      <alignment horizontal="left" vertical="top" wrapText="1"/>
      <protection locked="0"/>
    </xf>
    <xf numFmtId="0" fontId="19" fillId="4" borderId="77" xfId="0" applyFont="1" applyFill="1" applyBorder="1" applyAlignment="1" applyProtection="1">
      <alignment horizontal="center" vertical="center"/>
      <protection locked="0"/>
    </xf>
    <xf numFmtId="0" fontId="83" fillId="0" borderId="78" xfId="0" quotePrefix="1" applyFont="1" applyFill="1" applyBorder="1" applyAlignment="1" applyProtection="1">
      <alignment horizontal="left" vertical="top" wrapText="1"/>
      <protection locked="0"/>
    </xf>
    <xf numFmtId="0" fontId="83" fillId="0" borderId="79" xfId="0" quotePrefix="1" applyFont="1" applyFill="1" applyBorder="1" applyAlignment="1" applyProtection="1">
      <alignment horizontal="left" vertical="top" wrapText="1"/>
      <protection locked="0"/>
    </xf>
    <xf numFmtId="0" fontId="20" fillId="4" borderId="145" xfId="0" applyFont="1" applyFill="1" applyBorder="1" applyAlignment="1" applyProtection="1">
      <alignment horizontal="center" vertical="top"/>
      <protection locked="0"/>
    </xf>
    <xf numFmtId="0" fontId="19" fillId="4" borderId="81" xfId="0" applyFont="1" applyFill="1" applyBorder="1" applyAlignment="1" applyProtection="1">
      <alignment horizontal="center" vertical="center"/>
      <protection locked="0"/>
    </xf>
    <xf numFmtId="0" fontId="83" fillId="0" borderId="146" xfId="0" quotePrefix="1" applyFont="1" applyFill="1" applyBorder="1" applyAlignment="1" applyProtection="1">
      <alignment horizontal="left" vertical="top" wrapText="1"/>
      <protection locked="0"/>
    </xf>
    <xf numFmtId="0" fontId="19" fillId="4" borderId="82" xfId="0" applyFont="1" applyFill="1" applyBorder="1" applyAlignment="1" applyProtection="1">
      <alignment horizontal="center" vertical="center"/>
      <protection locked="0"/>
    </xf>
    <xf numFmtId="0" fontId="0" fillId="4" borderId="147" xfId="0" applyFont="1" applyFill="1" applyBorder="1" applyAlignment="1" applyProtection="1">
      <alignment horizontal="center" vertical="top" wrapText="1"/>
      <protection locked="0"/>
    </xf>
    <xf numFmtId="0" fontId="20" fillId="4" borderId="148" xfId="0" applyFont="1" applyFill="1" applyBorder="1" applyAlignment="1" applyProtection="1">
      <alignment horizontal="center" vertical="top"/>
      <protection locked="0"/>
    </xf>
    <xf numFmtId="0" fontId="8" fillId="0" borderId="149" xfId="0" quotePrefix="1" applyFont="1" applyBorder="1" applyAlignment="1" applyProtection="1">
      <alignment horizontal="left" vertical="top" wrapText="1"/>
      <protection locked="0"/>
    </xf>
    <xf numFmtId="0" fontId="8" fillId="0" borderId="150" xfId="0" quotePrefix="1" applyFont="1" applyBorder="1" applyAlignment="1" applyProtection="1">
      <alignment horizontal="left" vertical="top" wrapText="1"/>
      <protection locked="0"/>
    </xf>
    <xf numFmtId="0" fontId="8" fillId="0" borderId="83" xfId="0" quotePrefix="1" applyFont="1" applyBorder="1" applyAlignment="1" applyProtection="1">
      <alignment horizontal="left" vertical="top" wrapText="1"/>
      <protection locked="0"/>
    </xf>
    <xf numFmtId="0" fontId="8" fillId="0" borderId="34" xfId="0" quotePrefix="1" applyFont="1" applyBorder="1" applyAlignment="1" applyProtection="1">
      <alignment horizontal="left" vertical="top" wrapText="1"/>
      <protection locked="0"/>
    </xf>
    <xf numFmtId="0" fontId="0" fillId="4" borderId="151" xfId="0" applyFont="1" applyFill="1" applyBorder="1" applyAlignment="1" applyProtection="1">
      <alignment horizontal="center" vertical="top" wrapText="1"/>
      <protection locked="0"/>
    </xf>
    <xf numFmtId="0" fontId="0" fillId="4" borderId="152" xfId="0" applyFont="1" applyFill="1" applyBorder="1" applyAlignment="1" applyProtection="1">
      <alignment horizontal="center" vertical="top" wrapText="1"/>
      <protection locked="0"/>
    </xf>
    <xf numFmtId="0" fontId="20" fillId="4" borderId="153" xfId="0" applyFont="1" applyFill="1" applyBorder="1" applyAlignment="1" applyProtection="1">
      <alignment horizontal="center" vertical="top"/>
      <protection locked="0"/>
    </xf>
    <xf numFmtId="0" fontId="83" fillId="0" borderId="84" xfId="0" quotePrefix="1" applyFont="1" applyFill="1" applyBorder="1" applyAlignment="1" applyProtection="1">
      <alignment horizontal="left" vertical="top" wrapText="1"/>
      <protection locked="0"/>
    </xf>
    <xf numFmtId="0" fontId="0" fillId="0" borderId="85" xfId="0" quotePrefix="1" applyBorder="1" applyAlignment="1">
      <alignment horizontal="left" vertical="center" wrapText="1"/>
    </xf>
    <xf numFmtId="0" fontId="0" fillId="0" borderId="86" xfId="0" quotePrefix="1" applyBorder="1" applyAlignment="1">
      <alignment horizontal="left" vertical="center" wrapText="1"/>
    </xf>
    <xf numFmtId="0" fontId="0" fillId="0" borderId="87" xfId="0" applyFont="1" applyBorder="1"/>
    <xf numFmtId="0" fontId="0" fillId="0" borderId="88" xfId="0" quotePrefix="1" applyBorder="1" applyAlignment="1">
      <alignment horizontal="left" vertical="center" wrapText="1"/>
    </xf>
    <xf numFmtId="0" fontId="0" fillId="0" borderId="89" xfId="0" quotePrefix="1" applyBorder="1" applyAlignment="1">
      <alignment horizontal="left" vertical="center" wrapText="1"/>
    </xf>
    <xf numFmtId="0" fontId="0" fillId="0" borderId="85" xfId="0" applyFont="1" applyBorder="1"/>
    <xf numFmtId="0" fontId="0" fillId="0" borderId="90" xfId="0" applyFont="1" applyBorder="1"/>
    <xf numFmtId="0" fontId="0" fillId="0" borderId="91" xfId="0" applyFont="1" applyBorder="1"/>
    <xf numFmtId="0" fontId="0" fillId="0" borderId="88" xfId="0" applyFont="1" applyBorder="1"/>
    <xf numFmtId="0" fontId="0" fillId="0" borderId="90" xfId="0" quotePrefix="1" applyBorder="1" applyAlignment="1">
      <alignment horizontal="left" vertical="center" wrapText="1"/>
    </xf>
    <xf numFmtId="0" fontId="0" fillId="0" borderId="87" xfId="0" quotePrefix="1" applyBorder="1" applyAlignment="1">
      <alignment vertical="center" wrapText="1"/>
    </xf>
    <xf numFmtId="0" fontId="0" fillId="0" borderId="88" xfId="0" quotePrefix="1" applyBorder="1" applyAlignment="1">
      <alignment vertical="center" wrapText="1"/>
    </xf>
    <xf numFmtId="0" fontId="0" fillId="33" borderId="88" xfId="0" applyFont="1" applyFill="1" applyBorder="1"/>
    <xf numFmtId="0" fontId="0" fillId="0" borderId="0" xfId="0" quotePrefix="1" applyBorder="1" applyAlignment="1" applyProtection="1">
      <alignment horizontal="left" vertical="top" wrapText="1"/>
      <protection locked="0"/>
    </xf>
    <xf numFmtId="0" fontId="0" fillId="0" borderId="34" xfId="0" quotePrefix="1" applyBorder="1" applyAlignment="1" applyProtection="1">
      <alignment horizontal="left" vertical="top" wrapText="1"/>
      <protection locked="0"/>
    </xf>
    <xf numFmtId="0" fontId="20" fillId="4" borderId="153" xfId="0" applyFont="1" applyFill="1" applyBorder="1" applyAlignment="1" applyProtection="1">
      <alignment horizontal="center" vertical="center"/>
      <protection locked="0"/>
    </xf>
    <xf numFmtId="0" fontId="20" fillId="4" borderId="145" xfId="0" applyFont="1" applyFill="1" applyBorder="1" applyAlignment="1" applyProtection="1">
      <alignment horizontal="center" vertical="center"/>
      <protection locked="0"/>
    </xf>
    <xf numFmtId="0" fontId="20" fillId="4" borderId="152" xfId="0" applyFont="1" applyFill="1" applyBorder="1" applyAlignment="1" applyProtection="1">
      <alignment horizontal="center" vertical="top"/>
      <protection locked="0"/>
    </xf>
    <xf numFmtId="0" fontId="6" fillId="6" borderId="92" xfId="0" applyFont="1" applyFill="1" applyBorder="1" applyAlignment="1">
      <alignment horizontal="center" vertical="center" wrapText="1"/>
    </xf>
    <xf numFmtId="0" fontId="6" fillId="6" borderId="93" xfId="0" applyFont="1" applyFill="1" applyBorder="1" applyAlignment="1">
      <alignment horizontal="center" vertical="center" wrapText="1"/>
    </xf>
    <xf numFmtId="0" fontId="0" fillId="0" borderId="0" xfId="0" applyBorder="1"/>
    <xf numFmtId="0" fontId="0" fillId="33" borderId="94" xfId="0" applyFill="1" applyBorder="1"/>
    <xf numFmtId="0" fontId="0" fillId="33" borderId="154" xfId="0" applyFill="1" applyBorder="1"/>
    <xf numFmtId="0" fontId="0" fillId="0" borderId="94" xfId="0" quotePrefix="1" applyBorder="1" applyAlignment="1">
      <alignment horizontal="left" vertical="center"/>
    </xf>
    <xf numFmtId="0" fontId="0" fillId="0" borderId="94" xfId="0" applyBorder="1"/>
    <xf numFmtId="0" fontId="0" fillId="0" borderId="95" xfId="0" applyBorder="1"/>
    <xf numFmtId="0" fontId="0" fillId="32" borderId="142" xfId="0" quotePrefix="1" applyFont="1" applyFill="1" applyBorder="1" applyAlignment="1" applyProtection="1">
      <alignment horizontal="left" vertical="top" wrapText="1"/>
      <protection locked="0"/>
    </xf>
    <xf numFmtId="0" fontId="84" fillId="34" borderId="96" xfId="0" applyFont="1" applyFill="1" applyBorder="1" applyAlignment="1" applyProtection="1">
      <alignment vertical="center" wrapText="1"/>
      <protection locked="0"/>
    </xf>
    <xf numFmtId="0" fontId="84" fillId="34" borderId="0" xfId="0" applyFont="1" applyFill="1" applyBorder="1" applyAlignment="1" applyProtection="1">
      <alignment horizontal="left"/>
      <protection locked="0"/>
    </xf>
    <xf numFmtId="0" fontId="0" fillId="35" borderId="40" xfId="0" quotePrefix="1" applyFill="1" applyBorder="1" applyAlignment="1" applyProtection="1">
      <alignment horizontal="left" vertical="top" wrapText="1"/>
      <protection locked="0"/>
    </xf>
    <xf numFmtId="0" fontId="0" fillId="35" borderId="0" xfId="0" quotePrefix="1" applyFill="1" applyBorder="1" applyAlignment="1" applyProtection="1">
      <alignment horizontal="left" vertical="top" wrapText="1"/>
      <protection locked="0"/>
    </xf>
    <xf numFmtId="0" fontId="0" fillId="35" borderId="62" xfId="0" quotePrefix="1" applyFill="1" applyBorder="1" applyAlignment="1" applyProtection="1">
      <alignment horizontal="left" vertical="top" wrapText="1"/>
      <protection locked="0"/>
    </xf>
    <xf numFmtId="0" fontId="0" fillId="36" borderId="143" xfId="0" applyFont="1" applyFill="1" applyBorder="1" applyAlignment="1" applyProtection="1">
      <alignment horizontal="center" vertical="top" wrapText="1"/>
      <protection locked="0"/>
    </xf>
    <xf numFmtId="0" fontId="0" fillId="34" borderId="144" xfId="0" applyFont="1" applyFill="1" applyBorder="1" applyAlignment="1" applyProtection="1">
      <alignment horizontal="left" vertical="top" wrapText="1"/>
      <protection locked="0"/>
    </xf>
    <xf numFmtId="0" fontId="87" fillId="36" borderId="65" xfId="0" applyFont="1" applyFill="1" applyBorder="1" applyAlignment="1" applyProtection="1">
      <alignment horizontal="center" vertical="center"/>
      <protection locked="0"/>
    </xf>
    <xf numFmtId="0" fontId="87" fillId="36" borderId="97" xfId="0" applyFont="1" applyFill="1" applyBorder="1" applyAlignment="1" applyProtection="1">
      <alignment horizontal="center" vertical="center"/>
      <protection locked="0"/>
    </xf>
    <xf numFmtId="0" fontId="88" fillId="37" borderId="146" xfId="0" quotePrefix="1" applyFont="1" applyFill="1" applyBorder="1" applyAlignment="1" applyProtection="1">
      <alignment horizontal="left" vertical="top" wrapText="1"/>
      <protection locked="0"/>
    </xf>
    <xf numFmtId="0" fontId="89" fillId="36" borderId="155" xfId="0" applyFont="1" applyFill="1" applyBorder="1" applyAlignment="1" applyProtection="1">
      <alignment horizontal="center" vertical="top"/>
      <protection locked="0"/>
    </xf>
    <xf numFmtId="0" fontId="84" fillId="37" borderId="39" xfId="0" quotePrefix="1" applyFont="1" applyFill="1" applyBorder="1" applyAlignment="1" applyProtection="1">
      <alignment horizontal="left" vertical="top" wrapText="1"/>
      <protection locked="0"/>
    </xf>
    <xf numFmtId="0" fontId="84" fillId="36" borderId="141" xfId="0" applyFont="1" applyFill="1" applyBorder="1" applyAlignment="1" applyProtection="1">
      <alignment horizontal="center" vertical="top" wrapText="1"/>
      <protection locked="0"/>
    </xf>
    <xf numFmtId="0" fontId="84" fillId="37" borderId="62" xfId="0" quotePrefix="1" applyFont="1" applyFill="1" applyBorder="1" applyAlignment="1" applyProtection="1">
      <alignment horizontal="left" vertical="top" wrapText="1"/>
      <protection locked="0"/>
    </xf>
    <xf numFmtId="0" fontId="89" fillId="36" borderId="141" xfId="0" applyFont="1" applyFill="1" applyBorder="1" applyAlignment="1" applyProtection="1">
      <alignment horizontal="center" vertical="top"/>
      <protection locked="0"/>
    </xf>
    <xf numFmtId="0" fontId="91" fillId="37" borderId="75" xfId="157" quotePrefix="1" applyFont="1" applyFill="1" applyBorder="1" applyAlignment="1" applyProtection="1">
      <alignment horizontal="left" vertical="top" wrapText="1"/>
      <protection locked="0"/>
    </xf>
    <xf numFmtId="0" fontId="91" fillId="37" borderId="76" xfId="157" quotePrefix="1" applyFont="1" applyFill="1" applyBorder="1" applyAlignment="1" applyProtection="1">
      <alignment horizontal="left" vertical="top" wrapText="1"/>
      <protection locked="0"/>
    </xf>
    <xf numFmtId="0" fontId="84" fillId="37" borderId="75" xfId="0" quotePrefix="1" applyFont="1" applyFill="1" applyBorder="1" applyAlignment="1" applyProtection="1">
      <alignment horizontal="left" vertical="top" wrapText="1"/>
      <protection locked="0"/>
    </xf>
    <xf numFmtId="0" fontId="84" fillId="37" borderId="76" xfId="0" quotePrefix="1" applyFont="1" applyFill="1" applyBorder="1" applyAlignment="1" applyProtection="1">
      <alignment horizontal="left" vertical="top" wrapText="1"/>
      <protection locked="0"/>
    </xf>
    <xf numFmtId="0" fontId="84" fillId="36" borderId="143" xfId="0" applyFont="1" applyFill="1" applyBorder="1" applyAlignment="1" applyProtection="1">
      <alignment horizontal="center" vertical="top" wrapText="1"/>
      <protection locked="0"/>
    </xf>
    <xf numFmtId="0" fontId="84" fillId="34" borderId="144" xfId="0" applyFont="1" applyFill="1" applyBorder="1" applyAlignment="1" applyProtection="1">
      <alignment horizontal="left" vertical="top" wrapText="1"/>
      <protection locked="0"/>
    </xf>
    <xf numFmtId="0" fontId="84" fillId="34" borderId="144" xfId="0" applyFont="1" applyFill="1" applyBorder="1" applyAlignment="1" applyProtection="1">
      <alignment horizontal="left" vertical="top" wrapText="1"/>
      <protection locked="0"/>
    </xf>
    <xf numFmtId="0" fontId="87" fillId="36" borderId="81" xfId="0" applyFont="1" applyFill="1" applyBorder="1" applyAlignment="1" applyProtection="1">
      <alignment horizontal="center" vertical="center"/>
      <protection locked="0"/>
    </xf>
    <xf numFmtId="0" fontId="88" fillId="37" borderId="78" xfId="0" quotePrefix="1" applyFont="1" applyFill="1" applyBorder="1" applyAlignment="1" applyProtection="1">
      <alignment horizontal="left" vertical="top" wrapText="1"/>
      <protection locked="0"/>
    </xf>
    <xf numFmtId="0" fontId="89" fillId="36" borderId="145" xfId="0" applyFont="1" applyFill="1" applyBorder="1" applyAlignment="1" applyProtection="1">
      <alignment horizontal="center" vertical="top"/>
      <protection locked="0"/>
    </xf>
    <xf numFmtId="0" fontId="90" fillId="37" borderId="75" xfId="157" quotePrefix="1" applyFont="1" applyFill="1" applyBorder="1" applyAlignment="1" applyProtection="1">
      <alignment horizontal="left" vertical="top" wrapText="1"/>
      <protection locked="0"/>
    </xf>
    <xf numFmtId="0" fontId="90" fillId="37" borderId="76" xfId="157" quotePrefix="1" applyFont="1" applyFill="1" applyBorder="1" applyAlignment="1" applyProtection="1">
      <alignment horizontal="left" vertical="top" wrapText="1"/>
      <protection locked="0"/>
    </xf>
    <xf numFmtId="0" fontId="87" fillId="36" borderId="82" xfId="0" applyFont="1" applyFill="1" applyBorder="1" applyAlignment="1" applyProtection="1">
      <alignment horizontal="center" vertical="center"/>
      <protection locked="0"/>
    </xf>
    <xf numFmtId="0" fontId="88" fillId="37" borderId="84" xfId="0" quotePrefix="1" applyFont="1" applyFill="1" applyBorder="1" applyAlignment="1" applyProtection="1">
      <alignment horizontal="left" vertical="top" wrapText="1"/>
      <protection locked="0"/>
    </xf>
    <xf numFmtId="0" fontId="86" fillId="38" borderId="38" xfId="0" applyFont="1" applyFill="1" applyBorder="1" applyAlignment="1" applyProtection="1">
      <alignment vertical="center"/>
      <protection locked="0"/>
    </xf>
    <xf numFmtId="0" fontId="0" fillId="32" borderId="142" xfId="0" quotePrefix="1" applyFont="1" applyFill="1" applyBorder="1" applyAlignment="1" applyProtection="1">
      <alignment horizontal="left" vertical="top" wrapText="1"/>
      <protection locked="0"/>
    </xf>
    <xf numFmtId="0" fontId="20" fillId="4" borderId="98" xfId="0" applyFont="1" applyFill="1" applyBorder="1" applyAlignment="1" applyProtection="1">
      <alignment horizontal="center" vertical="top"/>
      <protection locked="0"/>
    </xf>
    <xf numFmtId="0" fontId="0" fillId="39" borderId="62" xfId="0" quotePrefix="1" applyFill="1" applyBorder="1" applyAlignment="1" applyProtection="1">
      <alignment horizontal="left" vertical="top" wrapText="1"/>
      <protection locked="0"/>
    </xf>
    <xf numFmtId="0" fontId="0" fillId="40" borderId="74" xfId="0" quotePrefix="1" applyFill="1" applyBorder="1" applyAlignment="1" applyProtection="1">
      <alignment horizontal="left" vertical="top" wrapText="1"/>
      <protection locked="0"/>
    </xf>
    <xf numFmtId="0" fontId="0" fillId="40" borderId="85" xfId="0" quotePrefix="1" applyFill="1" applyBorder="1" applyAlignment="1">
      <alignment vertical="center" wrapText="1"/>
    </xf>
    <xf numFmtId="0" fontId="0" fillId="40" borderId="90" xfId="0" quotePrefix="1" applyFill="1" applyBorder="1" applyAlignment="1">
      <alignment horizontal="left" vertical="center" wrapText="1"/>
    </xf>
    <xf numFmtId="0" fontId="0" fillId="40" borderId="66" xfId="0" quotePrefix="1" applyFill="1" applyBorder="1" applyAlignment="1">
      <alignment vertical="center" wrapText="1"/>
    </xf>
    <xf numFmtId="0" fontId="0" fillId="35" borderId="74" xfId="0" quotePrefix="1" applyFill="1" applyBorder="1" applyAlignment="1" applyProtection="1">
      <alignment horizontal="left" vertical="top" wrapText="1"/>
      <protection locked="0"/>
    </xf>
    <xf numFmtId="0" fontId="84" fillId="34" borderId="74" xfId="0" quotePrefix="1" applyFont="1" applyFill="1" applyBorder="1" applyAlignment="1" applyProtection="1">
      <alignment horizontal="left" vertical="top" wrapText="1"/>
      <protection locked="0"/>
    </xf>
    <xf numFmtId="0" fontId="87" fillId="36" borderId="139" xfId="0" applyFont="1" applyFill="1" applyBorder="1" applyAlignment="1" applyProtection="1">
      <alignment horizontal="center" vertical="center"/>
      <protection locked="0"/>
    </xf>
    <xf numFmtId="0" fontId="84" fillId="37" borderId="68" xfId="0" quotePrefix="1" applyFont="1" applyFill="1" applyBorder="1" applyAlignment="1" applyProtection="1">
      <alignment horizontal="left" vertical="top" wrapText="1"/>
      <protection locked="0"/>
    </xf>
    <xf numFmtId="0" fontId="84" fillId="34" borderId="40" xfId="0" quotePrefix="1" applyFont="1" applyFill="1" applyBorder="1" applyAlignment="1" applyProtection="1">
      <alignment horizontal="left" vertical="top" wrapText="1"/>
      <protection locked="0"/>
    </xf>
    <xf numFmtId="0" fontId="84" fillId="37" borderId="74" xfId="0" quotePrefix="1" applyFont="1" applyFill="1" applyBorder="1" applyAlignment="1" applyProtection="1">
      <alignment horizontal="left" vertical="top" wrapText="1"/>
      <protection locked="0"/>
    </xf>
    <xf numFmtId="0" fontId="84" fillId="34" borderId="75" xfId="0" quotePrefix="1" applyFont="1" applyFill="1" applyBorder="1" applyAlignment="1" applyProtection="1">
      <alignment horizontal="left" vertical="top" wrapText="1"/>
      <protection locked="0"/>
    </xf>
    <xf numFmtId="0" fontId="84" fillId="34" borderId="76" xfId="0" quotePrefix="1" applyFont="1" applyFill="1" applyBorder="1" applyAlignment="1" applyProtection="1">
      <alignment horizontal="left" vertical="top" wrapText="1"/>
      <protection locked="0"/>
    </xf>
    <xf numFmtId="0" fontId="90" fillId="34" borderId="75" xfId="157" quotePrefix="1" applyFont="1" applyFill="1" applyBorder="1" applyAlignment="1" applyProtection="1">
      <alignment horizontal="left" vertical="top" wrapText="1"/>
      <protection locked="0"/>
    </xf>
    <xf numFmtId="0" fontId="90" fillId="34" borderId="76" xfId="157" quotePrefix="1" applyFont="1" applyFill="1" applyBorder="1" applyAlignment="1" applyProtection="1">
      <alignment horizontal="left" vertical="top" wrapText="1"/>
      <protection locked="0"/>
    </xf>
    <xf numFmtId="0" fontId="84" fillId="37" borderId="156" xfId="0" quotePrefix="1" applyFont="1" applyFill="1" applyBorder="1" applyAlignment="1" applyProtection="1">
      <alignment horizontal="left" vertical="top" wrapText="1"/>
      <protection locked="0"/>
    </xf>
    <xf numFmtId="0" fontId="84" fillId="36" borderId="147" xfId="0" applyFont="1" applyFill="1" applyBorder="1" applyAlignment="1" applyProtection="1">
      <alignment horizontal="center" vertical="top" wrapText="1"/>
      <protection locked="0"/>
    </xf>
    <xf numFmtId="0" fontId="84" fillId="37" borderId="157" xfId="0" quotePrefix="1" applyFont="1" applyFill="1" applyBorder="1" applyAlignment="1" applyProtection="1">
      <alignment horizontal="left" vertical="top" wrapText="1"/>
      <protection locked="0"/>
    </xf>
    <xf numFmtId="0" fontId="84" fillId="34" borderId="158" xfId="0" quotePrefix="1" applyFont="1" applyFill="1" applyBorder="1" applyAlignment="1" applyProtection="1">
      <alignment horizontal="left" vertical="top" wrapText="1"/>
      <protection locked="0"/>
    </xf>
    <xf numFmtId="0" fontId="84" fillId="34" borderId="159" xfId="0" quotePrefix="1" applyFont="1" applyFill="1" applyBorder="1" applyAlignment="1" applyProtection="1">
      <alignment horizontal="left" vertical="top" wrapText="1"/>
      <protection locked="0"/>
    </xf>
    <xf numFmtId="0" fontId="84" fillId="37" borderId="160" xfId="0" quotePrefix="1" applyFont="1" applyFill="1" applyBorder="1" applyAlignment="1" applyProtection="1">
      <alignment horizontal="left" vertical="top" wrapText="1"/>
      <protection locked="0"/>
    </xf>
    <xf numFmtId="0" fontId="0" fillId="35" borderId="0" xfId="0" applyFont="1" applyFill="1" applyBorder="1" applyAlignment="1" applyProtection="1">
      <alignment horizontal="left"/>
      <protection locked="0"/>
    </xf>
    <xf numFmtId="0" fontId="22" fillId="0" borderId="24" xfId="0" quotePrefix="1" applyFont="1" applyBorder="1" applyAlignment="1">
      <alignment vertical="center" wrapText="1"/>
    </xf>
    <xf numFmtId="0" fontId="0" fillId="0" borderId="142" xfId="0" quotePrefix="1" applyBorder="1" applyAlignment="1" applyProtection="1">
      <alignment horizontal="left"/>
      <protection locked="0"/>
    </xf>
    <xf numFmtId="0" fontId="20" fillId="4" borderId="68" xfId="0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left"/>
      <protection locked="0"/>
    </xf>
    <xf numFmtId="0" fontId="20" fillId="4" borderId="97" xfId="0" applyFont="1" applyFill="1" applyBorder="1" applyAlignment="1" applyProtection="1">
      <alignment horizontal="center" vertical="center"/>
      <protection locked="0"/>
    </xf>
    <xf numFmtId="0" fontId="20" fillId="4" borderId="100" xfId="0" applyFont="1" applyFill="1" applyBorder="1" applyAlignment="1" applyProtection="1">
      <alignment horizontal="center" vertical="center"/>
      <protection locked="0"/>
    </xf>
    <xf numFmtId="0" fontId="8" fillId="0" borderId="161" xfId="0" applyFont="1" applyFill="1" applyBorder="1" applyAlignment="1" applyProtection="1">
      <alignment horizontal="left" vertical="top" wrapText="1"/>
      <protection locked="0"/>
    </xf>
    <xf numFmtId="0" fontId="8" fillId="0" borderId="162" xfId="0" applyFont="1" applyFill="1" applyBorder="1" applyAlignment="1" applyProtection="1">
      <alignment horizontal="left" vertical="top" wrapText="1"/>
      <protection locked="0"/>
    </xf>
    <xf numFmtId="0" fontId="20" fillId="4" borderId="98" xfId="0" applyFont="1" applyFill="1" applyBorder="1" applyAlignment="1" applyProtection="1">
      <alignment horizontal="center" vertical="center"/>
      <protection locked="0"/>
    </xf>
    <xf numFmtId="0" fontId="20" fillId="4" borderId="163" xfId="0" applyFont="1" applyFill="1" applyBorder="1" applyAlignment="1" applyProtection="1">
      <alignment horizontal="center" vertical="center"/>
      <protection locked="0"/>
    </xf>
    <xf numFmtId="0" fontId="0" fillId="0" borderId="98" xfId="0" quotePrefix="1" applyBorder="1" applyAlignment="1" applyProtection="1">
      <alignment horizontal="left" vertical="top" wrapText="1"/>
      <protection locked="0"/>
    </xf>
    <xf numFmtId="0" fontId="20" fillId="4" borderId="164" xfId="0" applyFont="1" applyFill="1" applyBorder="1" applyAlignment="1" applyProtection="1">
      <alignment horizontal="center" vertical="center"/>
      <protection locked="0"/>
    </xf>
    <xf numFmtId="0" fontId="20" fillId="4" borderId="152" xfId="0" applyFont="1" applyFill="1" applyBorder="1" applyAlignment="1" applyProtection="1">
      <alignment horizontal="center" vertical="center"/>
      <protection locked="0"/>
    </xf>
    <xf numFmtId="0" fontId="0" fillId="41" borderId="165" xfId="0" quotePrefix="1" applyFont="1" applyFill="1" applyBorder="1" applyAlignment="1" applyProtection="1">
      <alignment horizontal="left" vertical="top" wrapText="1"/>
      <protection locked="0"/>
    </xf>
    <xf numFmtId="0" fontId="20" fillId="4" borderId="166" xfId="0" applyFont="1" applyFill="1" applyBorder="1" applyAlignment="1" applyProtection="1">
      <alignment horizontal="center" vertical="top"/>
      <protection locked="0"/>
    </xf>
    <xf numFmtId="0" fontId="20" fillId="4" borderId="100" xfId="0" applyFont="1" applyFill="1" applyBorder="1" applyAlignment="1" applyProtection="1">
      <alignment horizontal="center" vertical="top"/>
      <protection locked="0"/>
    </xf>
    <xf numFmtId="0" fontId="20" fillId="4" borderId="163" xfId="0" applyFont="1" applyFill="1" applyBorder="1" applyAlignment="1" applyProtection="1">
      <alignment horizontal="center" vertical="top"/>
      <protection locked="0"/>
    </xf>
    <xf numFmtId="0" fontId="20" fillId="4" borderId="167" xfId="0" applyFont="1" applyFill="1" applyBorder="1" applyAlignment="1" applyProtection="1">
      <alignment horizontal="center" vertical="top"/>
      <protection locked="0"/>
    </xf>
    <xf numFmtId="0" fontId="20" fillId="4" borderId="167" xfId="0" applyFont="1" applyFill="1" applyBorder="1" applyAlignment="1" applyProtection="1">
      <alignment horizontal="center" vertical="center"/>
      <protection locked="0"/>
    </xf>
    <xf numFmtId="0" fontId="20" fillId="4" borderId="168" xfId="0" applyFont="1" applyFill="1" applyBorder="1" applyAlignment="1" applyProtection="1">
      <alignment horizontal="center" vertical="center"/>
      <protection locked="0"/>
    </xf>
    <xf numFmtId="0" fontId="20" fillId="4" borderId="169" xfId="0" applyFont="1" applyFill="1" applyBorder="1" applyAlignment="1" applyProtection="1">
      <alignment horizontal="center" vertical="center"/>
      <protection locked="0"/>
    </xf>
    <xf numFmtId="0" fontId="0" fillId="41" borderId="170" xfId="0" quotePrefix="1" applyFont="1" applyFill="1" applyBorder="1" applyAlignment="1" applyProtection="1">
      <alignment horizontal="left" vertical="top" wrapText="1"/>
      <protection locked="0"/>
    </xf>
    <xf numFmtId="0" fontId="0" fillId="32" borderId="99" xfId="0" quotePrefix="1" applyFill="1" applyBorder="1" applyAlignment="1" applyProtection="1">
      <alignment horizontal="left" vertical="top" wrapText="1"/>
      <protection locked="0"/>
    </xf>
    <xf numFmtId="0" fontId="0" fillId="41" borderId="164" xfId="0" quotePrefix="1" applyFont="1" applyFill="1" applyBorder="1" applyAlignment="1" applyProtection="1">
      <alignment horizontal="left" vertical="top" wrapText="1"/>
      <protection locked="0"/>
    </xf>
    <xf numFmtId="0" fontId="0" fillId="32" borderId="80" xfId="0" quotePrefix="1" applyFill="1" applyBorder="1" applyAlignment="1" applyProtection="1">
      <alignment horizontal="left" vertical="top" wrapText="1"/>
      <protection locked="0"/>
    </xf>
    <xf numFmtId="0" fontId="0" fillId="32" borderId="67" xfId="0" quotePrefix="1" applyFill="1" applyBorder="1" applyAlignment="1" applyProtection="1">
      <alignment horizontal="left" vertical="top" wrapText="1"/>
      <protection locked="0"/>
    </xf>
    <xf numFmtId="0" fontId="0" fillId="35" borderId="80" xfId="0" quotePrefix="1" applyFill="1" applyBorder="1" applyAlignment="1" applyProtection="1">
      <alignment horizontal="left" vertical="top" wrapText="1"/>
      <protection locked="0"/>
    </xf>
    <xf numFmtId="0" fontId="0" fillId="41" borderId="171" xfId="0" quotePrefix="1" applyFont="1" applyFill="1" applyBorder="1" applyAlignment="1" applyProtection="1">
      <alignment horizontal="left" vertical="top" wrapText="1"/>
      <protection locked="0"/>
    </xf>
    <xf numFmtId="0" fontId="20" fillId="4" borderId="170" xfId="0" applyFont="1" applyFill="1" applyBorder="1" applyAlignment="1" applyProtection="1">
      <alignment horizontal="center" vertical="center"/>
      <protection locked="0"/>
    </xf>
    <xf numFmtId="0" fontId="20" fillId="4" borderId="160" xfId="0" applyFont="1" applyFill="1" applyBorder="1" applyAlignment="1" applyProtection="1">
      <alignment horizontal="center" vertical="top"/>
      <protection locked="0"/>
    </xf>
    <xf numFmtId="0" fontId="20" fillId="4" borderId="172" xfId="0" applyFont="1" applyFill="1" applyBorder="1" applyAlignment="1" applyProtection="1">
      <alignment horizontal="center" vertical="center"/>
      <protection locked="0"/>
    </xf>
    <xf numFmtId="0" fontId="20" fillId="4" borderId="66" xfId="0" applyFont="1" applyFill="1" applyBorder="1" applyAlignment="1" applyProtection="1">
      <alignment horizontal="center" vertical="center"/>
      <protection locked="0"/>
    </xf>
    <xf numFmtId="0" fontId="20" fillId="4" borderId="173" xfId="0" applyFont="1" applyFill="1" applyBorder="1" applyAlignment="1" applyProtection="1">
      <alignment horizontal="center" vertical="top"/>
      <protection locked="0"/>
    </xf>
    <xf numFmtId="0" fontId="0" fillId="41" borderId="174" xfId="0" quotePrefix="1" applyFont="1" applyFill="1" applyBorder="1" applyAlignment="1" applyProtection="1">
      <alignment horizontal="left" vertical="top" wrapText="1"/>
      <protection locked="0"/>
    </xf>
    <xf numFmtId="0" fontId="0" fillId="32" borderId="101" xfId="0" quotePrefix="1" applyFill="1" applyBorder="1" applyAlignment="1" applyProtection="1">
      <alignment horizontal="left" vertical="top" wrapText="1"/>
      <protection locked="0"/>
    </xf>
    <xf numFmtId="0" fontId="20" fillId="4" borderId="175" xfId="0" applyFont="1" applyFill="1" applyBorder="1" applyAlignment="1" applyProtection="1">
      <alignment horizontal="center" vertical="top"/>
      <protection locked="0"/>
    </xf>
    <xf numFmtId="0" fontId="0" fillId="41" borderId="176" xfId="0" quotePrefix="1" applyFont="1" applyFill="1" applyBorder="1" applyAlignment="1" applyProtection="1">
      <alignment horizontal="left" vertical="top" wrapText="1"/>
      <protection locked="0"/>
    </xf>
    <xf numFmtId="0" fontId="8" fillId="0" borderId="177" xfId="0" applyFont="1" applyFill="1" applyBorder="1" applyAlignment="1" applyProtection="1">
      <alignment horizontal="left" vertical="top" wrapText="1"/>
      <protection locked="0"/>
    </xf>
    <xf numFmtId="0" fontId="0" fillId="0" borderId="102" xfId="0" applyBorder="1"/>
    <xf numFmtId="0" fontId="0" fillId="0" borderId="85" xfId="0" applyBorder="1"/>
    <xf numFmtId="0" fontId="0" fillId="0" borderId="66" xfId="0" applyBorder="1"/>
    <xf numFmtId="0" fontId="0" fillId="0" borderId="87" xfId="0" applyBorder="1"/>
    <xf numFmtId="0" fontId="0" fillId="33" borderId="95" xfId="0" quotePrefix="1" applyFill="1" applyBorder="1" applyAlignment="1">
      <alignment horizontal="left" vertical="center" wrapText="1"/>
    </xf>
    <xf numFmtId="0" fontId="0" fillId="40" borderId="85" xfId="0" quotePrefix="1" applyFill="1" applyBorder="1" applyAlignment="1">
      <alignment horizontal="left" vertical="center" wrapText="1"/>
    </xf>
    <xf numFmtId="0" fontId="0" fillId="0" borderId="87" xfId="0" quotePrefix="1" applyBorder="1" applyAlignment="1">
      <alignment vertical="center"/>
    </xf>
    <xf numFmtId="0" fontId="0" fillId="0" borderId="88" xfId="0" quotePrefix="1" applyBorder="1" applyAlignment="1">
      <alignment vertical="center"/>
    </xf>
    <xf numFmtId="0" fontId="0" fillId="33" borderId="88" xfId="0" quotePrefix="1" applyFill="1" applyBorder="1" applyAlignment="1">
      <alignment horizontal="left" vertical="center" wrapText="1"/>
    </xf>
    <xf numFmtId="0" fontId="0" fillId="33" borderId="94" xfId="0" quotePrefix="1" applyFill="1" applyBorder="1" applyAlignment="1">
      <alignment vertical="center" wrapText="1"/>
    </xf>
    <xf numFmtId="0" fontId="0" fillId="33" borderId="90" xfId="0" quotePrefix="1" applyFill="1" applyBorder="1" applyAlignment="1">
      <alignment vertical="center" wrapText="1"/>
    </xf>
    <xf numFmtId="0" fontId="0" fillId="0" borderId="90" xfId="0" quotePrefix="1" applyBorder="1" applyAlignment="1">
      <alignment vertical="center"/>
    </xf>
    <xf numFmtId="0" fontId="0" fillId="40" borderId="91" xfId="0" quotePrefix="1" applyFill="1" applyBorder="1" applyAlignment="1">
      <alignment horizontal="left" vertical="center" wrapText="1"/>
    </xf>
    <xf numFmtId="0" fontId="0" fillId="40" borderId="103" xfId="0" quotePrefix="1" applyFill="1" applyBorder="1" applyAlignment="1">
      <alignment vertical="center" wrapText="1"/>
    </xf>
    <xf numFmtId="0" fontId="0" fillId="0" borderId="104" xfId="0" applyBorder="1" applyAlignment="1" applyProtection="1">
      <alignment horizontal="center"/>
      <protection locked="0"/>
    </xf>
    <xf numFmtId="170" fontId="18" fillId="42" borderId="32" xfId="0" applyNumberFormat="1" applyFont="1" applyFill="1" applyBorder="1" applyAlignment="1" applyProtection="1">
      <alignment horizontal="center" vertical="center"/>
      <protection locked="0"/>
    </xf>
    <xf numFmtId="0" fontId="0" fillId="42" borderId="32" xfId="0" applyFont="1" applyFill="1" applyBorder="1" applyAlignment="1" applyProtection="1">
      <alignment horizontal="center" vertical="center"/>
      <protection locked="0"/>
    </xf>
    <xf numFmtId="0" fontId="0" fillId="32" borderId="32" xfId="0" applyFont="1" applyFill="1" applyBorder="1" applyAlignment="1" applyProtection="1">
      <alignment horizontal="center" vertical="center"/>
      <protection locked="0"/>
    </xf>
    <xf numFmtId="171" fontId="0" fillId="32" borderId="32" xfId="0" applyNumberFormat="1" applyFont="1" applyFill="1" applyBorder="1" applyAlignment="1" applyProtection="1">
      <alignment horizontal="center" vertical="center"/>
      <protection locked="0"/>
    </xf>
    <xf numFmtId="0" fontId="0" fillId="32" borderId="105" xfId="0" applyFont="1" applyFill="1" applyBorder="1" applyAlignment="1" applyProtection="1">
      <alignment horizontal="left" vertical="center"/>
      <protection locked="0"/>
    </xf>
    <xf numFmtId="0" fontId="0" fillId="32" borderId="65" xfId="0" applyFill="1" applyBorder="1" applyAlignment="1" applyProtection="1">
      <alignment horizontal="center" vertical="center"/>
      <protection locked="0"/>
    </xf>
    <xf numFmtId="0" fontId="84" fillId="32" borderId="65" xfId="0" applyFont="1" applyFill="1" applyBorder="1" applyAlignment="1" applyProtection="1">
      <alignment horizontal="center" vertical="center"/>
      <protection locked="0"/>
    </xf>
    <xf numFmtId="171" fontId="0" fillId="32" borderId="24" xfId="0" applyNumberFormat="1" applyFill="1" applyBorder="1" applyAlignment="1" applyProtection="1">
      <alignment horizontal="center" vertical="center"/>
      <protection locked="0"/>
    </xf>
    <xf numFmtId="171" fontId="0" fillId="32" borderId="65" xfId="0" applyNumberFormat="1" applyFill="1" applyBorder="1" applyAlignment="1" applyProtection="1">
      <alignment horizontal="center" vertical="center"/>
      <protection locked="0"/>
    </xf>
    <xf numFmtId="171" fontId="84" fillId="32" borderId="65" xfId="0" applyNumberFormat="1" applyFont="1" applyFill="1" applyBorder="1" applyAlignment="1" applyProtection="1">
      <alignment horizontal="center" vertical="center"/>
      <protection locked="0"/>
    </xf>
    <xf numFmtId="171" fontId="0" fillId="33" borderId="65" xfId="0" applyNumberFormat="1" applyFill="1" applyBorder="1" applyAlignment="1" applyProtection="1">
      <alignment horizontal="center" vertical="center"/>
      <protection locked="0"/>
    </xf>
    <xf numFmtId="0" fontId="0" fillId="32" borderId="42" xfId="0" quotePrefix="1" applyFill="1" applyBorder="1" applyAlignment="1" applyProtection="1">
      <alignment horizontal="left" vertical="center" wrapText="1"/>
      <protection locked="0"/>
    </xf>
    <xf numFmtId="0" fontId="0" fillId="33" borderId="42" xfId="0" quotePrefix="1" applyFill="1" applyBorder="1" applyAlignment="1" applyProtection="1">
      <alignment horizontal="left" vertical="center" wrapText="1"/>
      <protection locked="0"/>
    </xf>
    <xf numFmtId="0" fontId="0" fillId="32" borderId="106" xfId="0" quotePrefix="1" applyFill="1" applyBorder="1" applyAlignment="1" applyProtection="1">
      <alignment horizontal="left" vertical="center" wrapText="1"/>
      <protection locked="0"/>
    </xf>
    <xf numFmtId="0" fontId="84" fillId="32" borderId="106" xfId="0" quotePrefix="1" applyFont="1" applyFill="1" applyBorder="1" applyAlignment="1" applyProtection="1">
      <alignment horizontal="left" vertical="center" wrapText="1"/>
      <protection locked="0"/>
    </xf>
    <xf numFmtId="0" fontId="8" fillId="32" borderId="0" xfId="0" applyFont="1" applyFill="1" applyBorder="1" applyAlignment="1" applyProtection="1">
      <alignment horizontal="left"/>
      <protection locked="0"/>
    </xf>
    <xf numFmtId="0" fontId="85" fillId="32" borderId="0" xfId="0" applyFont="1" applyFill="1" applyBorder="1" applyAlignment="1" applyProtection="1">
      <alignment horizontal="left"/>
      <protection locked="0"/>
    </xf>
    <xf numFmtId="0" fontId="8" fillId="33" borderId="0" xfId="0" applyFont="1" applyFill="1" applyBorder="1" applyAlignment="1" applyProtection="1">
      <alignment horizontal="left"/>
      <protection locked="0"/>
    </xf>
    <xf numFmtId="0" fontId="0" fillId="32" borderId="0" xfId="0" applyFont="1" applyFill="1" applyBorder="1" applyAlignment="1" applyProtection="1">
      <alignment horizontal="left"/>
      <protection locked="0"/>
    </xf>
    <xf numFmtId="0" fontId="0" fillId="33" borderId="0" xfId="0" applyFont="1" applyFill="1" applyBorder="1" applyAlignment="1" applyProtection="1">
      <alignment horizontal="left"/>
      <protection locked="0"/>
    </xf>
    <xf numFmtId="0" fontId="84" fillId="32" borderId="0" xfId="0" applyFont="1" applyFill="1" applyBorder="1" applyAlignment="1" applyProtection="1">
      <alignment horizontal="left"/>
      <protection locked="0"/>
    </xf>
    <xf numFmtId="0" fontId="0" fillId="32" borderId="56" xfId="0" applyFill="1" applyBorder="1" applyAlignment="1" applyProtection="1">
      <alignment vertical="center" wrapText="1"/>
      <protection locked="0"/>
    </xf>
    <xf numFmtId="0" fontId="0" fillId="33" borderId="56" xfId="0" applyFill="1" applyBorder="1" applyAlignment="1" applyProtection="1">
      <alignment vertical="center" wrapText="1"/>
      <protection locked="0"/>
    </xf>
    <xf numFmtId="0" fontId="0" fillId="32" borderId="96" xfId="0" applyFill="1" applyBorder="1" applyAlignment="1" applyProtection="1">
      <alignment vertical="center" wrapText="1"/>
      <protection locked="0"/>
    </xf>
    <xf numFmtId="0" fontId="0" fillId="43" borderId="88" xfId="0" quotePrefix="1" applyFill="1" applyBorder="1" applyAlignment="1">
      <alignment vertical="center" wrapText="1"/>
    </xf>
    <xf numFmtId="0" fontId="0" fillId="43" borderId="107" xfId="0" quotePrefix="1" applyFill="1" applyBorder="1" applyAlignment="1">
      <alignment horizontal="left" vertical="center" wrapText="1"/>
    </xf>
    <xf numFmtId="0" fontId="0" fillId="43" borderId="103" xfId="0" quotePrefix="1" applyFill="1" applyBorder="1" applyAlignment="1">
      <alignment vertical="center" wrapText="1"/>
    </xf>
    <xf numFmtId="0" fontId="0" fillId="43" borderId="108" xfId="0" quotePrefix="1" applyFill="1" applyBorder="1" applyAlignment="1">
      <alignment horizontal="left" vertical="center" wrapText="1"/>
    </xf>
    <xf numFmtId="0" fontId="0" fillId="43" borderId="90" xfId="0" quotePrefix="1" applyFill="1" applyBorder="1" applyAlignment="1">
      <alignment vertical="center" wrapText="1"/>
    </xf>
    <xf numFmtId="0" fontId="0" fillId="43" borderId="109" xfId="0" quotePrefix="1" applyFill="1" applyBorder="1" applyAlignment="1">
      <alignment horizontal="left" vertical="center" wrapText="1"/>
    </xf>
    <xf numFmtId="0" fontId="0" fillId="43" borderId="88" xfId="0" quotePrefix="1" applyFill="1" applyBorder="1" applyAlignment="1">
      <alignment horizontal="left" vertical="center" wrapText="1"/>
    </xf>
    <xf numFmtId="0" fontId="0" fillId="43" borderId="0" xfId="0" quotePrefix="1" applyFill="1" applyAlignment="1">
      <alignment vertical="center" wrapText="1"/>
    </xf>
    <xf numFmtId="0" fontId="0" fillId="43" borderId="87" xfId="0" quotePrefix="1" applyFill="1" applyBorder="1" applyAlignment="1">
      <alignment vertical="center" wrapText="1"/>
    </xf>
    <xf numFmtId="0" fontId="0" fillId="43" borderId="91" xfId="0" quotePrefix="1" applyFill="1" applyBorder="1" applyAlignment="1">
      <alignment horizontal="left" vertical="center" wrapText="1"/>
    </xf>
    <xf numFmtId="0" fontId="0" fillId="43" borderId="90" xfId="0" quotePrefix="1" applyFill="1" applyBorder="1" applyAlignment="1">
      <alignment horizontal="left" vertical="center" wrapText="1"/>
    </xf>
    <xf numFmtId="0" fontId="0" fillId="43" borderId="85" xfId="0" quotePrefix="1" applyFill="1" applyBorder="1" applyAlignment="1">
      <alignment vertical="center" wrapText="1"/>
    </xf>
    <xf numFmtId="0" fontId="0" fillId="43" borderId="91" xfId="0" quotePrefix="1" applyFill="1" applyBorder="1" applyAlignment="1">
      <alignment vertical="center" wrapText="1"/>
    </xf>
    <xf numFmtId="0" fontId="0" fillId="43" borderId="94" xfId="0" quotePrefix="1" applyFill="1" applyBorder="1" applyAlignment="1">
      <alignment vertical="center" wrapText="1"/>
    </xf>
    <xf numFmtId="0" fontId="0" fillId="43" borderId="95" xfId="0" quotePrefix="1" applyFill="1" applyBorder="1" applyAlignment="1">
      <alignment vertical="center" wrapText="1"/>
    </xf>
    <xf numFmtId="0" fontId="14" fillId="0" borderId="84" xfId="0" applyFont="1" applyBorder="1" applyAlignment="1">
      <alignment horizontal="right" vertical="center" wrapText="1"/>
    </xf>
    <xf numFmtId="0" fontId="14" fillId="0" borderId="110" xfId="0" applyFont="1" applyBorder="1" applyAlignment="1">
      <alignment horizontal="right" vertical="center" wrapText="1"/>
    </xf>
    <xf numFmtId="0" fontId="14" fillId="0" borderId="111" xfId="0" applyFont="1" applyBorder="1" applyAlignment="1">
      <alignment horizontal="right" vertical="center" wrapText="1"/>
    </xf>
    <xf numFmtId="0" fontId="26" fillId="11" borderId="112" xfId="0" applyFont="1" applyFill="1" applyBorder="1" applyAlignment="1">
      <alignment vertical="center" wrapText="1"/>
    </xf>
    <xf numFmtId="0" fontId="28" fillId="11" borderId="113" xfId="0" applyFont="1" applyFill="1" applyBorder="1" applyAlignment="1">
      <alignment horizontal="center" vertical="center" wrapText="1"/>
    </xf>
    <xf numFmtId="0" fontId="22" fillId="0" borderId="68" xfId="0" applyFont="1" applyBorder="1" applyAlignment="1">
      <alignment wrapText="1"/>
    </xf>
    <xf numFmtId="0" fontId="22" fillId="0" borderId="98" xfId="0" applyFont="1" applyBorder="1" applyAlignment="1">
      <alignment wrapText="1"/>
    </xf>
    <xf numFmtId="0" fontId="22" fillId="0" borderId="114" xfId="0" applyFont="1" applyBorder="1" applyAlignment="1">
      <alignment wrapText="1"/>
    </xf>
    <xf numFmtId="0" fontId="22" fillId="0" borderId="115" xfId="0" applyFont="1" applyBorder="1" applyAlignment="1">
      <alignment horizontal="center" wrapText="1"/>
    </xf>
    <xf numFmtId="0" fontId="22" fillId="0" borderId="116" xfId="0" applyFont="1" applyBorder="1" applyAlignment="1">
      <alignment horizontal="center" wrapText="1"/>
    </xf>
    <xf numFmtId="0" fontId="22" fillId="0" borderId="59" xfId="0" applyFont="1" applyBorder="1" applyAlignment="1">
      <alignment horizontal="center" wrapText="1"/>
    </xf>
    <xf numFmtId="0" fontId="23" fillId="0" borderId="117" xfId="0" applyFont="1" applyBorder="1" applyAlignment="1">
      <alignment horizontal="right" vertical="center" wrapText="1"/>
    </xf>
    <xf numFmtId="0" fontId="23" fillId="0" borderId="60" xfId="0" applyFont="1" applyBorder="1" applyAlignment="1">
      <alignment horizontal="right" vertical="center" wrapText="1"/>
    </xf>
    <xf numFmtId="0" fontId="24" fillId="0" borderId="0" xfId="0" applyFont="1" applyBorder="1" applyAlignment="1">
      <alignment horizontal="center" vertical="center" wrapText="1"/>
    </xf>
    <xf numFmtId="0" fontId="25" fillId="0" borderId="0" xfId="0" applyFont="1" applyBorder="1" applyAlignment="1">
      <alignment horizontal="center"/>
    </xf>
    <xf numFmtId="0" fontId="0" fillId="32" borderId="121" xfId="0" applyFont="1" applyFill="1" applyBorder="1" applyAlignment="1" applyProtection="1">
      <alignment horizontal="left" vertical="center" wrapText="1"/>
      <protection locked="0"/>
    </xf>
    <xf numFmtId="0" fontId="0" fillId="32" borderId="122" xfId="0" applyFont="1" applyFill="1" applyBorder="1" applyAlignment="1" applyProtection="1">
      <alignment horizontal="left" vertical="center" wrapText="1"/>
      <protection locked="0"/>
    </xf>
    <xf numFmtId="0" fontId="0" fillId="32" borderId="123" xfId="0" applyFont="1" applyFill="1" applyBorder="1" applyAlignment="1" applyProtection="1">
      <alignment horizontal="left" vertical="center" wrapText="1"/>
      <protection locked="0"/>
    </xf>
    <xf numFmtId="0" fontId="1" fillId="30" borderId="29" xfId="0" applyFont="1" applyFill="1" applyBorder="1" applyAlignment="1" applyProtection="1">
      <alignment horizontal="center" vertical="center" wrapText="1"/>
    </xf>
    <xf numFmtId="0" fontId="0" fillId="40" borderId="117" xfId="0" quotePrefix="1" applyFill="1" applyBorder="1" applyAlignment="1" applyProtection="1">
      <alignment horizontal="left" vertical="center" wrapText="1"/>
      <protection locked="0"/>
    </xf>
    <xf numFmtId="0" fontId="0" fillId="40" borderId="5" xfId="0" quotePrefix="1" applyFill="1" applyBorder="1" applyAlignment="1" applyProtection="1">
      <alignment horizontal="left" vertical="center" wrapText="1"/>
      <protection locked="0"/>
    </xf>
    <xf numFmtId="0" fontId="0" fillId="40" borderId="60" xfId="0" quotePrefix="1" applyFill="1" applyBorder="1" applyAlignment="1" applyProtection="1">
      <alignment horizontal="left" vertical="center" wrapText="1"/>
      <protection locked="0"/>
    </xf>
    <xf numFmtId="0" fontId="1" fillId="30" borderId="29" xfId="0" applyFont="1" applyFill="1" applyBorder="1" applyAlignment="1">
      <alignment horizontal="center" vertical="center" wrapText="1"/>
    </xf>
    <xf numFmtId="0" fontId="1" fillId="30" borderId="119" xfId="0" applyFont="1" applyFill="1" applyBorder="1" applyAlignment="1">
      <alignment horizontal="center" vertical="center"/>
    </xf>
    <xf numFmtId="0" fontId="1" fillId="30" borderId="29" xfId="0" applyFont="1" applyFill="1" applyBorder="1" applyAlignment="1">
      <alignment horizontal="center" vertical="center"/>
    </xf>
    <xf numFmtId="0" fontId="10" fillId="11" borderId="24" xfId="157" applyNumberFormat="1" applyFill="1" applyBorder="1" applyAlignment="1" applyProtection="1">
      <protection locked="0"/>
    </xf>
    <xf numFmtId="0" fontId="1" fillId="30" borderId="120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horizontal="center" vertical="center"/>
    </xf>
    <xf numFmtId="0" fontId="1" fillId="30" borderId="118" xfId="0" applyFont="1" applyFill="1" applyBorder="1" applyAlignment="1">
      <alignment horizontal="center" vertical="center" wrapText="1"/>
    </xf>
    <xf numFmtId="0" fontId="0" fillId="33" borderId="117" xfId="0" quotePrefix="1" applyFill="1" applyBorder="1" applyAlignment="1" applyProtection="1">
      <alignment horizontal="left" vertical="center" wrapText="1"/>
      <protection locked="0"/>
    </xf>
    <xf numFmtId="0" fontId="0" fillId="33" borderId="5" xfId="0" quotePrefix="1" applyFill="1" applyBorder="1" applyAlignment="1" applyProtection="1">
      <alignment horizontal="left" vertical="center" wrapText="1"/>
      <protection locked="0"/>
    </xf>
    <xf numFmtId="0" fontId="0" fillId="33" borderId="60" xfId="0" quotePrefix="1" applyFill="1" applyBorder="1" applyAlignment="1" applyProtection="1">
      <alignment horizontal="left" vertical="center" wrapText="1"/>
      <protection locked="0"/>
    </xf>
    <xf numFmtId="0" fontId="0" fillId="0" borderId="24" xfId="0" quotePrefix="1" applyFill="1" applyBorder="1" applyAlignment="1" applyProtection="1">
      <alignment horizontal="left" vertical="center" wrapText="1"/>
      <protection locked="0"/>
    </xf>
    <xf numFmtId="0" fontId="0" fillId="0" borderId="24" xfId="0" applyFill="1" applyBorder="1" applyAlignment="1" applyProtection="1">
      <alignment horizontal="left" vertical="center" wrapText="1"/>
      <protection locked="0"/>
    </xf>
    <xf numFmtId="0" fontId="84" fillId="37" borderId="117" xfId="0" quotePrefix="1" applyFont="1" applyFill="1" applyBorder="1" applyAlignment="1" applyProtection="1">
      <alignment horizontal="left" vertical="center" wrapText="1"/>
      <protection locked="0"/>
    </xf>
    <xf numFmtId="0" fontId="84" fillId="37" borderId="5" xfId="0" quotePrefix="1" applyFont="1" applyFill="1" applyBorder="1" applyAlignment="1" applyProtection="1">
      <alignment horizontal="left" vertical="center" wrapText="1"/>
      <protection locked="0"/>
    </xf>
    <xf numFmtId="0" fontId="84" fillId="37" borderId="60" xfId="0" quotePrefix="1" applyFont="1" applyFill="1" applyBorder="1" applyAlignment="1" applyProtection="1">
      <alignment horizontal="left" vertical="center" wrapText="1"/>
      <protection locked="0"/>
    </xf>
    <xf numFmtId="0" fontId="1" fillId="30" borderId="124" xfId="0" applyFont="1" applyFill="1" applyBorder="1" applyAlignment="1">
      <alignment horizontal="center" vertical="center"/>
    </xf>
    <xf numFmtId="0" fontId="6" fillId="2" borderId="125" xfId="0" applyFont="1" applyFill="1" applyBorder="1" applyAlignment="1" applyProtection="1">
      <alignment horizontal="left" vertical="center"/>
      <protection locked="0"/>
    </xf>
    <xf numFmtId="0" fontId="0" fillId="7" borderId="42" xfId="0" applyFont="1" applyFill="1" applyBorder="1" applyAlignment="1" applyProtection="1">
      <alignment horizontal="left"/>
      <protection locked="0"/>
    </xf>
    <xf numFmtId="0" fontId="10" fillId="7" borderId="56" xfId="157" applyNumberFormat="1" applyFont="1" applyFill="1" applyBorder="1" applyAlignment="1" applyProtection="1">
      <alignment horizontal="center" vertical="center"/>
      <protection locked="0"/>
    </xf>
    <xf numFmtId="0" fontId="10" fillId="7" borderId="96" xfId="157" applyNumberFormat="1" applyFont="1" applyFill="1" applyBorder="1" applyAlignment="1" applyProtection="1">
      <alignment horizontal="center" vertical="center"/>
      <protection locked="0"/>
    </xf>
    <xf numFmtId="0" fontId="10" fillId="7" borderId="133" xfId="157" applyNumberFormat="1" applyFont="1" applyFill="1" applyBorder="1" applyAlignment="1" applyProtection="1">
      <alignment horizontal="center" vertical="center"/>
      <protection locked="0"/>
    </xf>
    <xf numFmtId="0" fontId="10" fillId="7" borderId="38" xfId="157" applyNumberFormat="1" applyFont="1" applyFill="1" applyBorder="1" applyAlignment="1" applyProtection="1">
      <alignment horizontal="center" vertical="center"/>
      <protection locked="0"/>
    </xf>
    <xf numFmtId="0" fontId="8" fillId="0" borderId="42" xfId="0" quotePrefix="1" applyFont="1" applyFill="1" applyBorder="1" applyAlignment="1" applyProtection="1">
      <alignment horizontal="left" vertical="top" wrapText="1"/>
      <protection locked="0"/>
    </xf>
    <xf numFmtId="0" fontId="8" fillId="0" borderId="42" xfId="0" applyFont="1" applyFill="1" applyBorder="1" applyAlignment="1" applyProtection="1">
      <alignment horizontal="left" vertical="top" wrapText="1"/>
      <protection locked="0"/>
    </xf>
    <xf numFmtId="0" fontId="10" fillId="32" borderId="134" xfId="157" quotePrefix="1" applyFill="1" applyBorder="1" applyAlignment="1" applyProtection="1">
      <alignment horizontal="left" vertical="top" wrapText="1"/>
      <protection locked="0"/>
    </xf>
    <xf numFmtId="0" fontId="10" fillId="32" borderId="126" xfId="157" quotePrefix="1" applyFill="1" applyBorder="1" applyAlignment="1" applyProtection="1">
      <alignment horizontal="left" vertical="top" wrapText="1"/>
      <protection locked="0"/>
    </xf>
    <xf numFmtId="0" fontId="0" fillId="32" borderId="70" xfId="0" quotePrefix="1" applyFont="1" applyFill="1" applyBorder="1" applyAlignment="1" applyProtection="1">
      <alignment horizontal="left" vertical="top" wrapText="1"/>
      <protection locked="0"/>
    </xf>
    <xf numFmtId="0" fontId="0" fillId="32" borderId="71" xfId="0" quotePrefix="1" applyFont="1" applyFill="1" applyBorder="1" applyAlignment="1" applyProtection="1">
      <alignment horizontal="left" vertical="top" wrapText="1"/>
      <protection locked="0"/>
    </xf>
    <xf numFmtId="0" fontId="10" fillId="32" borderId="70" xfId="157" quotePrefix="1" applyFill="1" applyBorder="1" applyAlignment="1" applyProtection="1">
      <alignment horizontal="left" vertical="top" wrapText="1"/>
      <protection locked="0"/>
    </xf>
    <xf numFmtId="0" fontId="10" fillId="32" borderId="71" xfId="157" quotePrefix="1" applyFill="1" applyBorder="1" applyAlignment="1" applyProtection="1">
      <alignment horizontal="left" vertical="top" wrapText="1"/>
      <protection locked="0"/>
    </xf>
    <xf numFmtId="0" fontId="0" fillId="32" borderId="135" xfId="0" applyFont="1" applyFill="1" applyBorder="1" applyAlignment="1" applyProtection="1">
      <alignment horizontal="left" vertical="top" wrapText="1"/>
      <protection locked="0"/>
    </xf>
    <xf numFmtId="0" fontId="0" fillId="32" borderId="136" xfId="0" applyFont="1" applyFill="1" applyBorder="1" applyAlignment="1" applyProtection="1">
      <alignment horizontal="left" vertical="top" wrapText="1"/>
      <protection locked="0"/>
    </xf>
    <xf numFmtId="0" fontId="10" fillId="7" borderId="28" xfId="157" applyNumberFormat="1" applyFont="1" applyFill="1" applyBorder="1" applyAlignment="1" applyProtection="1">
      <alignment horizontal="center" vertical="center"/>
      <protection locked="0"/>
    </xf>
    <xf numFmtId="0" fontId="10" fillId="7" borderId="127" xfId="157" applyNumberFormat="1" applyFont="1" applyFill="1" applyBorder="1" applyAlignment="1" applyProtection="1">
      <alignment horizontal="center" vertical="center"/>
      <protection locked="0"/>
    </xf>
    <xf numFmtId="0" fontId="8" fillId="40" borderId="106" xfId="0" quotePrefix="1" applyFont="1" applyFill="1" applyBorder="1" applyAlignment="1" applyProtection="1">
      <alignment horizontal="left" vertical="top" wrapText="1"/>
      <protection locked="0"/>
    </xf>
    <xf numFmtId="0" fontId="8" fillId="40" borderId="106" xfId="0" applyFont="1" applyFill="1" applyBorder="1" applyAlignment="1" applyProtection="1">
      <alignment horizontal="left" vertical="top" wrapText="1"/>
      <protection locked="0"/>
    </xf>
    <xf numFmtId="0" fontId="0" fillId="32" borderId="142" xfId="0" quotePrefix="1" applyFont="1" applyFill="1" applyBorder="1" applyAlignment="1" applyProtection="1">
      <alignment horizontal="left" vertical="top" wrapText="1"/>
      <protection locked="0"/>
    </xf>
    <xf numFmtId="0" fontId="0" fillId="32" borderId="183" xfId="0" quotePrefix="1" applyFont="1" applyFill="1" applyBorder="1" applyAlignment="1" applyProtection="1">
      <alignment horizontal="left" vertical="top" wrapText="1"/>
      <protection locked="0"/>
    </xf>
    <xf numFmtId="0" fontId="84" fillId="34" borderId="70" xfId="0" quotePrefix="1" applyFont="1" applyFill="1" applyBorder="1" applyAlignment="1" applyProtection="1">
      <alignment horizontal="left" vertical="top" wrapText="1"/>
      <protection locked="0"/>
    </xf>
    <xf numFmtId="0" fontId="84" fillId="34" borderId="71" xfId="0" quotePrefix="1" applyFont="1" applyFill="1" applyBorder="1" applyAlignment="1" applyProtection="1">
      <alignment horizontal="left" vertical="top" wrapText="1"/>
      <protection locked="0"/>
    </xf>
    <xf numFmtId="0" fontId="10" fillId="40" borderId="142" xfId="157" quotePrefix="1" applyFill="1" applyBorder="1" applyAlignment="1" applyProtection="1">
      <alignment horizontal="left" vertical="top" wrapText="1"/>
      <protection locked="0"/>
    </xf>
    <xf numFmtId="0" fontId="10" fillId="40" borderId="183" xfId="157" quotePrefix="1" applyFill="1" applyBorder="1" applyAlignment="1" applyProtection="1">
      <alignment horizontal="left" vertical="top" wrapText="1"/>
      <protection locked="0"/>
    </xf>
    <xf numFmtId="0" fontId="0" fillId="32" borderId="144" xfId="0" applyFont="1" applyFill="1" applyBorder="1" applyAlignment="1" applyProtection="1">
      <alignment horizontal="left" vertical="top" wrapText="1"/>
      <protection locked="0"/>
    </xf>
    <xf numFmtId="0" fontId="0" fillId="32" borderId="182" xfId="0" applyFont="1" applyFill="1" applyBorder="1" applyAlignment="1" applyProtection="1">
      <alignment horizontal="left" vertical="top" wrapText="1"/>
      <protection locked="0"/>
    </xf>
    <xf numFmtId="0" fontId="8" fillId="0" borderId="129" xfId="0" quotePrefix="1" applyFont="1" applyFill="1" applyBorder="1" applyAlignment="1" applyProtection="1">
      <alignment horizontal="left" vertical="top" wrapText="1"/>
      <protection locked="0"/>
    </xf>
    <xf numFmtId="0" fontId="8" fillId="0" borderId="129" xfId="0" applyFont="1" applyFill="1" applyBorder="1" applyAlignment="1" applyProtection="1">
      <alignment horizontal="left" vertical="top" wrapText="1"/>
      <protection locked="0"/>
    </xf>
    <xf numFmtId="0" fontId="0" fillId="32" borderId="196" xfId="0" quotePrefix="1" applyFont="1" applyFill="1" applyBorder="1" applyAlignment="1" applyProtection="1">
      <alignment horizontal="left" vertical="top" wrapText="1"/>
      <protection locked="0"/>
    </xf>
    <xf numFmtId="0" fontId="0" fillId="32" borderId="197" xfId="0" quotePrefix="1" applyFont="1" applyFill="1" applyBorder="1" applyAlignment="1" applyProtection="1">
      <alignment horizontal="left" vertical="top" wrapText="1"/>
      <protection locked="0"/>
    </xf>
    <xf numFmtId="0" fontId="0" fillId="32" borderId="194" xfId="0" quotePrefix="1" applyFont="1" applyFill="1" applyBorder="1" applyAlignment="1" applyProtection="1">
      <alignment horizontal="left" vertical="top" wrapText="1"/>
      <protection locked="0"/>
    </xf>
    <xf numFmtId="0" fontId="0" fillId="32" borderId="185" xfId="0" quotePrefix="1" applyFont="1" applyFill="1" applyBorder="1" applyAlignment="1" applyProtection="1">
      <alignment horizontal="left" vertical="top" wrapText="1"/>
      <protection locked="0"/>
    </xf>
    <xf numFmtId="0" fontId="10" fillId="35" borderId="71" xfId="157" quotePrefix="1" applyNumberFormat="1" applyFill="1" applyBorder="1" applyAlignment="1" applyProtection="1">
      <alignment horizontal="left" vertical="top" wrapText="1"/>
      <protection locked="0"/>
    </xf>
    <xf numFmtId="0" fontId="81" fillId="35" borderId="71" xfId="157" applyNumberFormat="1" applyFont="1" applyFill="1" applyBorder="1" applyAlignment="1" applyProtection="1">
      <alignment horizontal="left" vertical="top" wrapText="1"/>
      <protection locked="0"/>
    </xf>
    <xf numFmtId="0" fontId="0" fillId="32" borderId="70" xfId="0" quotePrefix="1" applyFill="1" applyBorder="1" applyAlignment="1" applyProtection="1">
      <alignment horizontal="left" vertical="top" wrapText="1"/>
      <protection locked="0"/>
    </xf>
    <xf numFmtId="0" fontId="0" fillId="32" borderId="71" xfId="0" quotePrefix="1" applyFill="1" applyBorder="1" applyAlignment="1" applyProtection="1">
      <alignment horizontal="left" vertical="top" wrapText="1"/>
      <protection locked="0"/>
    </xf>
    <xf numFmtId="0" fontId="81" fillId="32" borderId="128" xfId="157" quotePrefix="1" applyNumberFormat="1" applyFont="1" applyFill="1" applyBorder="1" applyAlignment="1" applyProtection="1">
      <alignment horizontal="left" vertical="top" wrapText="1"/>
      <protection locked="0"/>
    </xf>
    <xf numFmtId="0" fontId="81" fillId="32" borderId="71" xfId="157" applyNumberFormat="1" applyFont="1" applyFill="1" applyBorder="1" applyAlignment="1" applyProtection="1">
      <alignment horizontal="left" vertical="top" wrapText="1"/>
      <protection locked="0"/>
    </xf>
    <xf numFmtId="0" fontId="6" fillId="2" borderId="125" xfId="0" applyNumberFormat="1" applyFont="1" applyFill="1" applyBorder="1" applyAlignment="1" applyProtection="1">
      <alignment horizontal="left" vertical="center"/>
      <protection locked="0"/>
    </xf>
    <xf numFmtId="0" fontId="84" fillId="34" borderId="144" xfId="0" applyFont="1" applyFill="1" applyBorder="1" applyAlignment="1" applyProtection="1">
      <alignment horizontal="left" vertical="top" wrapText="1"/>
      <protection locked="0"/>
    </xf>
    <xf numFmtId="0" fontId="84" fillId="34" borderId="182" xfId="0" applyFont="1" applyFill="1" applyBorder="1" applyAlignment="1" applyProtection="1">
      <alignment horizontal="left" vertical="top" wrapText="1"/>
      <protection locked="0"/>
    </xf>
    <xf numFmtId="0" fontId="84" fillId="34" borderId="142" xfId="157" quotePrefix="1" applyNumberFormat="1" applyFont="1" applyFill="1" applyBorder="1" applyAlignment="1" applyProtection="1">
      <alignment horizontal="left" vertical="top" wrapText="1"/>
      <protection locked="0"/>
    </xf>
    <xf numFmtId="0" fontId="84" fillId="34" borderId="183" xfId="157" quotePrefix="1" applyNumberFormat="1" applyFont="1" applyFill="1" applyBorder="1" applyAlignment="1" applyProtection="1">
      <alignment horizontal="left" vertical="top" wrapText="1"/>
      <protection locked="0"/>
    </xf>
    <xf numFmtId="0" fontId="84" fillId="37" borderId="70" xfId="0" quotePrefix="1" applyFont="1" applyFill="1" applyBorder="1" applyAlignment="1" applyProtection="1">
      <alignment horizontal="left" vertical="top" wrapText="1"/>
      <protection locked="0"/>
    </xf>
    <xf numFmtId="0" fontId="84" fillId="37" borderId="71" xfId="0" quotePrefix="1" applyFont="1" applyFill="1" applyBorder="1" applyAlignment="1" applyProtection="1">
      <alignment horizontal="left" vertical="top" wrapText="1"/>
      <protection locked="0"/>
    </xf>
    <xf numFmtId="0" fontId="84" fillId="34" borderId="178" xfId="157" quotePrefix="1" applyNumberFormat="1" applyFont="1" applyFill="1" applyBorder="1" applyAlignment="1" applyProtection="1">
      <alignment horizontal="left" vertical="top" wrapText="1"/>
      <protection locked="0"/>
    </xf>
    <xf numFmtId="0" fontId="84" fillId="34" borderId="179" xfId="157" quotePrefix="1" applyNumberFormat="1" applyFont="1" applyFill="1" applyBorder="1" applyAlignment="1" applyProtection="1">
      <alignment horizontal="left" vertical="top" wrapText="1"/>
      <protection locked="0"/>
    </xf>
    <xf numFmtId="0" fontId="86" fillId="38" borderId="125" xfId="0" applyNumberFormat="1" applyFont="1" applyFill="1" applyBorder="1" applyAlignment="1" applyProtection="1">
      <alignment horizontal="left" vertical="center"/>
      <protection locked="0"/>
    </xf>
    <xf numFmtId="0" fontId="10" fillId="35" borderId="70" xfId="157" quotePrefix="1" applyFill="1" applyBorder="1" applyAlignment="1" applyProtection="1">
      <alignment horizontal="left" vertical="top" wrapText="1"/>
      <protection locked="0"/>
    </xf>
    <xf numFmtId="0" fontId="10" fillId="35" borderId="71" xfId="157" quotePrefix="1" applyFill="1" applyBorder="1" applyAlignment="1" applyProtection="1">
      <alignment horizontal="left" vertical="top" wrapText="1"/>
      <protection locked="0"/>
    </xf>
    <xf numFmtId="0" fontId="81" fillId="32" borderId="142" xfId="157" quotePrefix="1" applyNumberFormat="1" applyFont="1" applyFill="1" applyBorder="1" applyAlignment="1" applyProtection="1">
      <alignment horizontal="left" vertical="top" wrapText="1"/>
      <protection locked="0"/>
    </xf>
    <xf numFmtId="0" fontId="81" fillId="32" borderId="183" xfId="157" quotePrefix="1" applyNumberFormat="1" applyFont="1" applyFill="1" applyBorder="1" applyAlignment="1" applyProtection="1">
      <alignment horizontal="left" vertical="top" wrapText="1"/>
      <protection locked="0"/>
    </xf>
    <xf numFmtId="0" fontId="84" fillId="34" borderId="75" xfId="0" quotePrefix="1" applyFont="1" applyFill="1" applyBorder="1" applyAlignment="1" applyProtection="1">
      <alignment horizontal="left" vertical="top" wrapText="1"/>
      <protection locked="0"/>
    </xf>
    <xf numFmtId="0" fontId="90" fillId="34" borderId="96" xfId="157" applyNumberFormat="1" applyFont="1" applyFill="1" applyBorder="1" applyAlignment="1" applyProtection="1">
      <alignment horizontal="center" vertical="center"/>
      <protection locked="0"/>
    </xf>
    <xf numFmtId="0" fontId="90" fillId="34" borderId="28" xfId="157" applyNumberFormat="1" applyFont="1" applyFill="1" applyBorder="1" applyAlignment="1" applyProtection="1">
      <alignment horizontal="center" vertical="center"/>
      <protection locked="0"/>
    </xf>
    <xf numFmtId="0" fontId="90" fillId="34" borderId="127" xfId="157" applyNumberFormat="1" applyFont="1" applyFill="1" applyBorder="1" applyAlignment="1" applyProtection="1">
      <alignment horizontal="center" vertical="center"/>
      <protection locked="0"/>
    </xf>
    <xf numFmtId="0" fontId="85" fillId="37" borderId="106" xfId="0" quotePrefix="1" applyFont="1" applyFill="1" applyBorder="1" applyAlignment="1" applyProtection="1">
      <alignment horizontal="left" vertical="top" wrapText="1"/>
      <protection locked="0"/>
    </xf>
    <xf numFmtId="0" fontId="85" fillId="37" borderId="106" xfId="0" applyFont="1" applyFill="1" applyBorder="1" applyAlignment="1" applyProtection="1">
      <alignment horizontal="left" vertical="top" wrapText="1"/>
      <protection locked="0"/>
    </xf>
    <xf numFmtId="0" fontId="85" fillId="37" borderId="111" xfId="0" applyFont="1" applyFill="1" applyBorder="1" applyAlignment="1" applyProtection="1">
      <alignment horizontal="left" vertical="top" wrapText="1"/>
      <protection locked="0"/>
    </xf>
    <xf numFmtId="0" fontId="85" fillId="37" borderId="82" xfId="0" applyFont="1" applyFill="1" applyBorder="1" applyAlignment="1" applyProtection="1">
      <alignment horizontal="left" vertical="top" wrapText="1"/>
      <protection locked="0"/>
    </xf>
    <xf numFmtId="0" fontId="84" fillId="34" borderId="160" xfId="0" quotePrefix="1" applyFont="1" applyFill="1" applyBorder="1" applyAlignment="1" applyProtection="1">
      <alignment horizontal="left" vertical="top" wrapText="1"/>
      <protection locked="0"/>
    </xf>
    <xf numFmtId="0" fontId="84" fillId="34" borderId="185" xfId="0" quotePrefix="1" applyFont="1" applyFill="1" applyBorder="1" applyAlignment="1" applyProtection="1">
      <alignment horizontal="left" vertical="top" wrapText="1"/>
      <protection locked="0"/>
    </xf>
    <xf numFmtId="0" fontId="0" fillId="34" borderId="144" xfId="0" applyFont="1" applyFill="1" applyBorder="1" applyAlignment="1" applyProtection="1">
      <alignment horizontal="left" vertical="top" wrapText="1"/>
      <protection locked="0"/>
    </xf>
    <xf numFmtId="0" fontId="0" fillId="34" borderId="182" xfId="0" applyFont="1" applyFill="1" applyBorder="1" applyAlignment="1" applyProtection="1">
      <alignment horizontal="left" vertical="top" wrapText="1"/>
      <protection locked="0"/>
    </xf>
    <xf numFmtId="0" fontId="90" fillId="37" borderId="70" xfId="157" quotePrefix="1" applyFont="1" applyFill="1" applyBorder="1" applyAlignment="1" applyProtection="1">
      <alignment horizontal="left" vertical="top" wrapText="1"/>
      <protection locked="0"/>
    </xf>
    <xf numFmtId="0" fontId="90" fillId="37" borderId="71" xfId="157" quotePrefix="1" applyFont="1" applyFill="1" applyBorder="1" applyAlignment="1" applyProtection="1">
      <alignment horizontal="left" vertical="top" wrapText="1"/>
      <protection locked="0"/>
    </xf>
    <xf numFmtId="0" fontId="85" fillId="37" borderId="131" xfId="0" applyFont="1" applyFill="1" applyBorder="1" applyAlignment="1" applyProtection="1">
      <alignment horizontal="left" vertical="top" wrapText="1"/>
      <protection locked="0"/>
    </xf>
    <xf numFmtId="0" fontId="85" fillId="37" borderId="132" xfId="0" applyFont="1" applyFill="1" applyBorder="1" applyAlignment="1" applyProtection="1">
      <alignment horizontal="left" vertical="top" wrapText="1"/>
      <protection locked="0"/>
    </xf>
    <xf numFmtId="0" fontId="84" fillId="34" borderId="195" xfId="0" quotePrefix="1" applyFont="1" applyFill="1" applyBorder="1" applyAlignment="1" applyProtection="1">
      <alignment horizontal="left" vertical="top" wrapText="1"/>
      <protection locked="0"/>
    </xf>
    <xf numFmtId="0" fontId="84" fillId="34" borderId="191" xfId="0" quotePrefix="1" applyFont="1" applyFill="1" applyBorder="1" applyAlignment="1" applyProtection="1">
      <alignment horizontal="left" vertical="top" wrapText="1"/>
      <protection locked="0"/>
    </xf>
    <xf numFmtId="0" fontId="10" fillId="34" borderId="178" xfId="157" quotePrefix="1" applyNumberFormat="1" applyFill="1" applyBorder="1" applyAlignment="1" applyProtection="1">
      <alignment horizontal="left" vertical="top" wrapText="1"/>
      <protection locked="0"/>
    </xf>
    <xf numFmtId="0" fontId="90" fillId="34" borderId="179" xfId="157" quotePrefix="1" applyNumberFormat="1" applyFont="1" applyFill="1" applyBorder="1" applyAlignment="1" applyProtection="1">
      <alignment horizontal="left" vertical="top" wrapText="1"/>
      <protection locked="0"/>
    </xf>
    <xf numFmtId="0" fontId="8" fillId="0" borderId="106" xfId="0" quotePrefix="1" applyFont="1" applyFill="1" applyBorder="1" applyAlignment="1" applyProtection="1">
      <alignment horizontal="left" vertical="top" wrapText="1"/>
      <protection locked="0"/>
    </xf>
    <xf numFmtId="0" fontId="8" fillId="0" borderId="106" xfId="0" applyFont="1" applyFill="1" applyBorder="1" applyAlignment="1" applyProtection="1">
      <alignment horizontal="left" vertical="top" wrapText="1"/>
      <protection locked="0"/>
    </xf>
    <xf numFmtId="0" fontId="8" fillId="0" borderId="131" xfId="0" applyFont="1" applyFill="1" applyBorder="1" applyAlignment="1" applyProtection="1">
      <alignment horizontal="left" vertical="top" wrapText="1"/>
      <protection locked="0"/>
    </xf>
    <xf numFmtId="0" fontId="8" fillId="0" borderId="132" xfId="0" applyFont="1" applyFill="1" applyBorder="1" applyAlignment="1" applyProtection="1">
      <alignment horizontal="left" vertical="top" wrapText="1"/>
      <protection locked="0"/>
    </xf>
    <xf numFmtId="0" fontId="10" fillId="32" borderId="142" xfId="157" quotePrefix="1" applyNumberFormat="1" applyFill="1" applyBorder="1" applyAlignment="1" applyProtection="1">
      <alignment horizontal="left" vertical="top" wrapText="1"/>
      <protection locked="0"/>
    </xf>
    <xf numFmtId="0" fontId="10" fillId="32" borderId="183" xfId="157" quotePrefix="1" applyNumberFormat="1" applyFill="1" applyBorder="1" applyAlignment="1" applyProtection="1">
      <alignment horizontal="left" vertical="top" wrapText="1"/>
      <protection locked="0"/>
    </xf>
    <xf numFmtId="0" fontId="10" fillId="34" borderId="70" xfId="157" quotePrefix="1" applyFill="1" applyBorder="1" applyAlignment="1" applyProtection="1">
      <alignment horizontal="left" vertical="top" wrapText="1"/>
      <protection locked="0"/>
    </xf>
    <xf numFmtId="0" fontId="90" fillId="34" borderId="71" xfId="157" quotePrefix="1" applyFont="1" applyFill="1" applyBorder="1" applyAlignment="1" applyProtection="1">
      <alignment horizontal="left" vertical="top" wrapText="1"/>
      <protection locked="0"/>
    </xf>
    <xf numFmtId="0" fontId="10" fillId="34" borderId="192" xfId="157" quotePrefix="1" applyFill="1" applyBorder="1" applyAlignment="1" applyProtection="1">
      <alignment horizontal="left" vertical="top" wrapText="1"/>
      <protection locked="0"/>
    </xf>
    <xf numFmtId="0" fontId="90" fillId="34" borderId="193" xfId="157" quotePrefix="1" applyFont="1" applyFill="1" applyBorder="1" applyAlignment="1" applyProtection="1">
      <alignment horizontal="left" vertical="top" wrapText="1"/>
      <protection locked="0"/>
    </xf>
    <xf numFmtId="0" fontId="84" fillId="34" borderId="190" xfId="0" quotePrefix="1" applyFont="1" applyFill="1" applyBorder="1" applyAlignment="1" applyProtection="1">
      <alignment horizontal="left" vertical="top" wrapText="1"/>
      <protection locked="0"/>
    </xf>
    <xf numFmtId="0" fontId="0" fillId="32" borderId="160" xfId="0" quotePrefix="1" applyFont="1" applyFill="1" applyBorder="1" applyAlignment="1" applyProtection="1">
      <alignment horizontal="left" vertical="top" wrapText="1"/>
      <protection locked="0"/>
    </xf>
    <xf numFmtId="0" fontId="0" fillId="35" borderId="70" xfId="0" quotePrefix="1" applyFill="1" applyBorder="1" applyAlignment="1" applyProtection="1">
      <alignment horizontal="left" vertical="top" wrapText="1"/>
      <protection locked="0"/>
    </xf>
    <xf numFmtId="0" fontId="0" fillId="35" borderId="71" xfId="0" quotePrefix="1" applyFill="1" applyBorder="1" applyAlignment="1" applyProtection="1">
      <alignment horizontal="left" vertical="top" wrapText="1"/>
      <protection locked="0"/>
    </xf>
    <xf numFmtId="0" fontId="8" fillId="0" borderId="111" xfId="0" applyFont="1" applyFill="1" applyBorder="1" applyAlignment="1" applyProtection="1">
      <alignment horizontal="left" vertical="top" wrapText="1"/>
      <protection locked="0"/>
    </xf>
    <xf numFmtId="0" fontId="8" fillId="0" borderId="84" xfId="0" applyFont="1" applyFill="1" applyBorder="1" applyAlignment="1" applyProtection="1">
      <alignment horizontal="left" vertical="top" wrapText="1"/>
      <protection locked="0"/>
    </xf>
    <xf numFmtId="0" fontId="10" fillId="40" borderId="128" xfId="157" quotePrefix="1" applyNumberFormat="1" applyFill="1" applyBorder="1" applyAlignment="1" applyProtection="1">
      <alignment horizontal="left" vertical="top" wrapText="1"/>
      <protection locked="0"/>
    </xf>
    <xf numFmtId="0" fontId="10" fillId="40" borderId="71" xfId="157" applyNumberFormat="1" applyFill="1" applyBorder="1" applyAlignment="1" applyProtection="1">
      <alignment horizontal="left" vertical="top" wrapText="1"/>
      <protection locked="0"/>
    </xf>
    <xf numFmtId="0" fontId="81" fillId="32" borderId="130" xfId="157" quotePrefix="1" applyNumberFormat="1" applyFont="1" applyFill="1" applyBorder="1" applyAlignment="1" applyProtection="1">
      <alignment horizontal="left" vertical="top" wrapText="1"/>
      <protection locked="0"/>
    </xf>
    <xf numFmtId="0" fontId="81" fillId="32" borderId="73" xfId="157" applyNumberFormat="1" applyFont="1" applyFill="1" applyBorder="1" applyAlignment="1" applyProtection="1">
      <alignment horizontal="left" vertical="top" wrapText="1"/>
      <protection locked="0"/>
    </xf>
    <xf numFmtId="0" fontId="10" fillId="35" borderId="128" xfId="157" quotePrefix="1" applyNumberFormat="1" applyFill="1" applyBorder="1" applyAlignment="1" applyProtection="1">
      <alignment horizontal="left" vertical="top" wrapText="1"/>
      <protection locked="0"/>
    </xf>
    <xf numFmtId="0" fontId="10" fillId="35" borderId="71" xfId="157" applyNumberFormat="1" applyFill="1" applyBorder="1" applyAlignment="1" applyProtection="1">
      <alignment horizontal="left" vertical="top" wrapText="1"/>
      <protection locked="0"/>
    </xf>
    <xf numFmtId="0" fontId="0" fillId="0" borderId="70" xfId="0" quotePrefix="1" applyBorder="1" applyAlignment="1" applyProtection="1">
      <alignment horizontal="left" vertical="top" wrapText="1"/>
      <protection locked="0"/>
    </xf>
    <xf numFmtId="0" fontId="0" fillId="0" borderId="71" xfId="0" quotePrefix="1" applyBorder="1" applyAlignment="1" applyProtection="1">
      <alignment horizontal="left" vertical="top" wrapText="1"/>
      <protection locked="0"/>
    </xf>
    <xf numFmtId="0" fontId="0" fillId="32" borderId="140" xfId="0" quotePrefix="1" applyFont="1" applyFill="1" applyBorder="1" applyAlignment="1" applyProtection="1">
      <alignment horizontal="left" vertical="top" wrapText="1"/>
      <protection locked="0"/>
    </xf>
    <xf numFmtId="0" fontId="0" fillId="32" borderId="184" xfId="0" quotePrefix="1" applyFont="1" applyFill="1" applyBorder="1" applyAlignment="1" applyProtection="1">
      <alignment horizontal="left" vertical="top" wrapText="1"/>
      <protection locked="0"/>
    </xf>
    <xf numFmtId="0" fontId="0" fillId="0" borderId="70" xfId="0" quotePrefix="1" applyBorder="1" applyAlignment="1">
      <alignment horizontal="left" vertical="top"/>
    </xf>
    <xf numFmtId="0" fontId="0" fillId="0" borderId="71" xfId="0" quotePrefix="1" applyBorder="1" applyAlignment="1">
      <alignment horizontal="left" vertical="top"/>
    </xf>
    <xf numFmtId="0" fontId="10" fillId="35" borderId="70" xfId="157" quotePrefix="1" applyNumberFormat="1" applyFill="1" applyBorder="1" applyAlignment="1" applyProtection="1">
      <alignment horizontal="left" vertical="top" wrapText="1"/>
      <protection locked="0"/>
    </xf>
    <xf numFmtId="0" fontId="0" fillId="0" borderId="70" xfId="157" quotePrefix="1" applyNumberFormat="1" applyFont="1" applyFill="1" applyBorder="1" applyAlignment="1" applyProtection="1">
      <alignment horizontal="left" vertical="top" wrapText="1"/>
      <protection locked="0"/>
    </xf>
    <xf numFmtId="0" fontId="81" fillId="0" borderId="71" xfId="157" quotePrefix="1" applyNumberFormat="1" applyFont="1" applyFill="1" applyBorder="1" applyAlignment="1" applyProtection="1">
      <alignment horizontal="left" vertical="top" wrapText="1"/>
      <protection locked="0"/>
    </xf>
    <xf numFmtId="0" fontId="81" fillId="32" borderId="70" xfId="157" quotePrefix="1" applyNumberFormat="1" applyFont="1" applyFill="1" applyBorder="1" applyAlignment="1" applyProtection="1">
      <alignment horizontal="left" vertical="top" wrapText="1"/>
      <protection locked="0"/>
    </xf>
    <xf numFmtId="0" fontId="81" fillId="32" borderId="71" xfId="157" quotePrefix="1" applyNumberFormat="1" applyFont="1" applyFill="1" applyBorder="1" applyAlignment="1" applyProtection="1">
      <alignment horizontal="left" vertical="top" wrapText="1"/>
      <protection locked="0"/>
    </xf>
    <xf numFmtId="0" fontId="1" fillId="30" borderId="37" xfId="0" applyFont="1" applyFill="1" applyBorder="1" applyAlignment="1">
      <alignment horizontal="left" vertical="center"/>
    </xf>
    <xf numFmtId="0" fontId="6" fillId="2" borderId="42" xfId="0" applyNumberFormat="1" applyFont="1" applyFill="1" applyBorder="1" applyAlignment="1" applyProtection="1">
      <alignment horizontal="left" vertical="center"/>
      <protection locked="0"/>
    </xf>
    <xf numFmtId="0" fontId="0" fillId="0" borderId="75" xfId="0" quotePrefix="1" applyBorder="1" applyAlignment="1" applyProtection="1">
      <alignment horizontal="left" vertical="top" wrapText="1"/>
      <protection locked="0"/>
    </xf>
    <xf numFmtId="0" fontId="0" fillId="0" borderId="76" xfId="0" quotePrefix="1" applyBorder="1" applyAlignment="1" applyProtection="1">
      <alignment horizontal="left" vertical="top" wrapText="1"/>
      <protection locked="0"/>
    </xf>
    <xf numFmtId="0" fontId="0" fillId="0" borderId="188" xfId="0" quotePrefix="1" applyBorder="1" applyAlignment="1" applyProtection="1">
      <alignment horizontal="left" vertical="top" wrapText="1"/>
      <protection locked="0"/>
    </xf>
    <xf numFmtId="0" fontId="0" fillId="0" borderId="189" xfId="0" quotePrefix="1" applyBorder="1" applyAlignment="1" applyProtection="1">
      <alignment horizontal="left" vertical="top" wrapText="1"/>
      <protection locked="0"/>
    </xf>
    <xf numFmtId="0" fontId="0" fillId="32" borderId="148" xfId="0" quotePrefix="1" applyFont="1" applyFill="1" applyBorder="1" applyAlignment="1" applyProtection="1">
      <alignment horizontal="left" vertical="top" wrapText="1"/>
      <protection locked="0"/>
    </xf>
    <xf numFmtId="0" fontId="0" fillId="32" borderId="187" xfId="0" quotePrefix="1" applyFont="1" applyFill="1" applyBorder="1" applyAlignment="1" applyProtection="1">
      <alignment horizontal="left" vertical="top" wrapText="1"/>
      <protection locked="0"/>
    </xf>
    <xf numFmtId="0" fontId="81" fillId="40" borderId="70" xfId="157" quotePrefix="1" applyNumberFormat="1" applyFont="1" applyFill="1" applyBorder="1" applyAlignment="1" applyProtection="1">
      <alignment horizontal="left" vertical="top" wrapText="1"/>
      <protection locked="0"/>
    </xf>
    <xf numFmtId="0" fontId="81" fillId="40" borderId="71" xfId="157" quotePrefix="1" applyNumberFormat="1" applyFont="1" applyFill="1" applyBorder="1" applyAlignment="1" applyProtection="1">
      <alignment horizontal="left" vertical="top" wrapText="1"/>
      <protection locked="0"/>
    </xf>
    <xf numFmtId="0" fontId="0" fillId="0" borderId="186" xfId="0" quotePrefix="1" applyBorder="1" applyAlignment="1" applyProtection="1">
      <alignment horizontal="center" vertical="top" wrapText="1"/>
      <protection locked="0"/>
    </xf>
    <xf numFmtId="0" fontId="0" fillId="0" borderId="179" xfId="0" quotePrefix="1" applyBorder="1" applyAlignment="1" applyProtection="1">
      <alignment horizontal="center" vertical="top" wrapText="1"/>
      <protection locked="0"/>
    </xf>
    <xf numFmtId="0" fontId="10" fillId="41" borderId="61" xfId="157" quotePrefix="1" applyFill="1" applyBorder="1" applyAlignment="1" applyProtection="1">
      <alignment horizontal="left" vertical="top" wrapText="1"/>
      <protection locked="0"/>
    </xf>
    <xf numFmtId="0" fontId="10" fillId="41" borderId="69" xfId="157" applyFill="1" applyBorder="1" applyAlignment="1" applyProtection="1">
      <alignment horizontal="left" vertical="top" wrapText="1"/>
      <protection locked="0"/>
    </xf>
    <xf numFmtId="0" fontId="93" fillId="32" borderId="142" xfId="157" quotePrefix="1" applyNumberFormat="1" applyFont="1" applyFill="1" applyBorder="1" applyAlignment="1" applyProtection="1">
      <alignment horizontal="left" vertical="top" wrapText="1"/>
      <protection locked="0"/>
    </xf>
    <xf numFmtId="0" fontId="93" fillId="32" borderId="183" xfId="157" quotePrefix="1" applyNumberFormat="1" applyFont="1" applyFill="1" applyBorder="1" applyAlignment="1" applyProtection="1">
      <alignment horizontal="left" vertical="top" wrapText="1"/>
      <protection locked="0"/>
    </xf>
    <xf numFmtId="0" fontId="10" fillId="40" borderId="70" xfId="157" quotePrefix="1" applyNumberFormat="1" applyFill="1" applyBorder="1" applyAlignment="1" applyProtection="1">
      <alignment horizontal="left" vertical="top" wrapText="1"/>
      <protection locked="0"/>
    </xf>
    <xf numFmtId="0" fontId="10" fillId="40" borderId="71" xfId="157" quotePrefix="1" applyNumberFormat="1" applyFill="1" applyBorder="1" applyAlignment="1" applyProtection="1">
      <alignment horizontal="left" vertical="top" wrapText="1"/>
      <protection locked="0"/>
    </xf>
    <xf numFmtId="0" fontId="0" fillId="0" borderId="128" xfId="157" quotePrefix="1" applyNumberFormat="1" applyFont="1" applyFill="1" applyBorder="1" applyAlignment="1" applyProtection="1">
      <alignment horizontal="left" vertical="top" wrapText="1"/>
      <protection locked="0"/>
    </xf>
    <xf numFmtId="0" fontId="81" fillId="0" borderId="71" xfId="157" applyNumberFormat="1" applyFont="1" applyFill="1" applyBorder="1" applyAlignment="1" applyProtection="1">
      <alignment horizontal="left" vertical="top" wrapText="1"/>
      <protection locked="0"/>
    </xf>
    <xf numFmtId="0" fontId="8" fillId="40" borderId="129" xfId="0" quotePrefix="1" applyFont="1" applyFill="1" applyBorder="1" applyAlignment="1" applyProtection="1">
      <alignment horizontal="left" vertical="top" wrapText="1"/>
      <protection locked="0"/>
    </xf>
    <xf numFmtId="0" fontId="8" fillId="40" borderId="129" xfId="0" applyFont="1" applyFill="1" applyBorder="1" applyAlignment="1" applyProtection="1">
      <alignment horizontal="left" vertical="top" wrapText="1"/>
      <protection locked="0"/>
    </xf>
    <xf numFmtId="0" fontId="10" fillId="40" borderId="70" xfId="157" quotePrefix="1" applyFill="1" applyBorder="1" applyAlignment="1" applyProtection="1">
      <alignment horizontal="left" vertical="top" wrapText="1"/>
      <protection locked="0"/>
    </xf>
    <xf numFmtId="0" fontId="10" fillId="40" borderId="71" xfId="157" quotePrefix="1" applyFill="1" applyBorder="1" applyAlignment="1" applyProtection="1">
      <alignment horizontal="left" vertical="top" wrapText="1"/>
      <protection locked="0"/>
    </xf>
    <xf numFmtId="0" fontId="0" fillId="32" borderId="178" xfId="0" quotePrefix="1" applyFont="1" applyFill="1" applyBorder="1" applyAlignment="1" applyProtection="1">
      <alignment horizontal="left" vertical="top" wrapText="1"/>
      <protection locked="0"/>
    </xf>
    <xf numFmtId="0" fontId="0" fillId="32" borderId="179" xfId="0" quotePrefix="1" applyFont="1" applyFill="1" applyBorder="1" applyAlignment="1" applyProtection="1">
      <alignment horizontal="left" vertical="top" wrapText="1"/>
      <protection locked="0"/>
    </xf>
    <xf numFmtId="0" fontId="8" fillId="0" borderId="180" xfId="0" applyFont="1" applyFill="1" applyBorder="1" applyAlignment="1" applyProtection="1">
      <alignment horizontal="left" vertical="top" wrapText="1"/>
      <protection locked="0"/>
    </xf>
    <xf numFmtId="0" fontId="8" fillId="0" borderId="181" xfId="0" applyFont="1" applyFill="1" applyBorder="1" applyAlignment="1" applyProtection="1">
      <alignment horizontal="left" vertical="top" wrapText="1"/>
      <protection locked="0"/>
    </xf>
    <xf numFmtId="0" fontId="8" fillId="0" borderId="161" xfId="0" applyFont="1" applyFill="1" applyBorder="1" applyAlignment="1" applyProtection="1">
      <alignment horizontal="center" vertical="top" wrapText="1"/>
      <protection locked="0"/>
    </xf>
    <xf numFmtId="0" fontId="8" fillId="0" borderId="162" xfId="0" applyFont="1" applyFill="1" applyBorder="1" applyAlignment="1" applyProtection="1">
      <alignment horizontal="center" vertical="top" wrapText="1"/>
      <protection locked="0"/>
    </xf>
    <xf numFmtId="0" fontId="10" fillId="32" borderId="70" xfId="157" quotePrefix="1" applyFill="1" applyBorder="1" applyAlignment="1" applyProtection="1">
      <alignment horizontal="center" vertical="top" wrapText="1"/>
      <protection locked="0"/>
    </xf>
    <xf numFmtId="0" fontId="10" fillId="32" borderId="71" xfId="157" quotePrefix="1" applyFill="1" applyBorder="1" applyAlignment="1" applyProtection="1">
      <alignment horizontal="center" vertical="top" wrapText="1"/>
      <protection locked="0"/>
    </xf>
    <xf numFmtId="0" fontId="0" fillId="43" borderId="94" xfId="0" applyFill="1" applyBorder="1" applyAlignment="1">
      <alignment horizontal="left" vertical="center"/>
    </xf>
    <xf numFmtId="0" fontId="0" fillId="43" borderId="102" xfId="0" applyFill="1" applyBorder="1" applyAlignment="1">
      <alignment horizontal="left" vertical="center"/>
    </xf>
    <xf numFmtId="0" fontId="0" fillId="43" borderId="95" xfId="0" applyFill="1" applyBorder="1" applyAlignment="1">
      <alignment horizontal="left" vertical="center"/>
    </xf>
    <xf numFmtId="0" fontId="0" fillId="33" borderId="85" xfId="0" applyFill="1" applyBorder="1" applyAlignment="1">
      <alignment horizontal="left" vertical="center"/>
    </xf>
    <xf numFmtId="0" fontId="0" fillId="33" borderId="87" xfId="0" applyFill="1" applyBorder="1" applyAlignment="1">
      <alignment horizontal="left" vertical="center"/>
    </xf>
    <xf numFmtId="0" fontId="0" fillId="33" borderId="94" xfId="0" quotePrefix="1" applyFill="1" applyBorder="1" applyAlignment="1">
      <alignment horizontal="left" vertical="center" wrapText="1"/>
    </xf>
    <xf numFmtId="0" fontId="0" fillId="33" borderId="95" xfId="0" quotePrefix="1" applyFill="1" applyBorder="1" applyAlignment="1">
      <alignment horizontal="left" vertical="center" wrapText="1"/>
    </xf>
    <xf numFmtId="0" fontId="0" fillId="0" borderId="85" xfId="0" applyBorder="1" applyAlignment="1">
      <alignment horizontal="left" vertical="center"/>
    </xf>
    <xf numFmtId="0" fontId="0" fillId="0" borderId="87" xfId="0" applyBorder="1" applyAlignment="1">
      <alignment horizontal="left" vertical="center"/>
    </xf>
    <xf numFmtId="0" fontId="0" fillId="0" borderId="94" xfId="0" quotePrefix="1" applyBorder="1" applyAlignment="1">
      <alignment horizontal="left" vertical="center" wrapText="1"/>
    </xf>
    <xf numFmtId="0" fontId="0" fillId="0" borderId="95" xfId="0" quotePrefix="1" applyBorder="1" applyAlignment="1">
      <alignment horizontal="left" vertical="center" wrapText="1"/>
    </xf>
    <xf numFmtId="0" fontId="0" fillId="43" borderId="85" xfId="0" quotePrefix="1" applyFill="1" applyBorder="1" applyAlignment="1">
      <alignment horizontal="left" vertical="center" wrapText="1"/>
    </xf>
    <xf numFmtId="0" fontId="0" fillId="43" borderId="66" xfId="0" quotePrefix="1" applyFill="1" applyBorder="1" applyAlignment="1">
      <alignment horizontal="left" vertical="center" wrapText="1"/>
    </xf>
    <xf numFmtId="0" fontId="0" fillId="43" borderId="87" xfId="0" quotePrefix="1" applyFill="1" applyBorder="1" applyAlignment="1">
      <alignment horizontal="left" vertical="center" wrapText="1"/>
    </xf>
    <xf numFmtId="0" fontId="0" fillId="43" borderId="85" xfId="0" quotePrefix="1" applyFill="1" applyBorder="1" applyAlignment="1">
      <alignment horizontal="left" vertical="center"/>
    </xf>
    <xf numFmtId="0" fontId="0" fillId="43" borderId="66" xfId="0" applyFill="1" applyBorder="1" applyAlignment="1">
      <alignment horizontal="left" vertical="center"/>
    </xf>
    <xf numFmtId="0" fontId="0" fillId="43" borderId="87" xfId="0" applyFill="1" applyBorder="1" applyAlignment="1">
      <alignment horizontal="left" vertical="center"/>
    </xf>
    <xf numFmtId="0" fontId="0" fillId="43" borderId="0" xfId="0" quotePrefix="1" applyFill="1" applyBorder="1" applyAlignment="1">
      <alignment horizontal="left" vertical="center" wrapText="1"/>
    </xf>
    <xf numFmtId="0" fontId="0" fillId="43" borderId="138" xfId="0" quotePrefix="1" applyFill="1" applyBorder="1" applyAlignment="1">
      <alignment horizontal="left" vertical="center" wrapText="1"/>
    </xf>
    <xf numFmtId="0" fontId="0" fillId="0" borderId="85" xfId="0" quotePrefix="1" applyBorder="1" applyAlignment="1">
      <alignment horizontal="left" vertical="center" wrapText="1"/>
    </xf>
    <xf numFmtId="0" fontId="0" fillId="0" borderId="66" xfId="0" quotePrefix="1" applyBorder="1" applyAlignment="1">
      <alignment horizontal="left" vertical="center" wrapText="1"/>
    </xf>
    <xf numFmtId="0" fontId="0" fillId="0" borderId="87" xfId="0" quotePrefix="1" applyBorder="1" applyAlignment="1">
      <alignment horizontal="left" vertical="center" wrapText="1"/>
    </xf>
    <xf numFmtId="0" fontId="0" fillId="0" borderId="82" xfId="0" applyBorder="1" applyAlignment="1">
      <alignment horizontal="left" vertical="center"/>
    </xf>
    <xf numFmtId="0" fontId="0" fillId="0" borderId="82" xfId="0" quotePrefix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138" xfId="0" applyBorder="1" applyAlignment="1">
      <alignment horizontal="left" vertical="center" wrapText="1"/>
    </xf>
    <xf numFmtId="0" fontId="0" fillId="43" borderId="137" xfId="0" quotePrefix="1" applyFill="1" applyBorder="1" applyAlignment="1">
      <alignment horizontal="left" vertical="center" wrapText="1"/>
    </xf>
    <xf numFmtId="0" fontId="0" fillId="43" borderId="85" xfId="0" applyFill="1" applyBorder="1" applyAlignment="1">
      <alignment vertical="center"/>
    </xf>
    <xf numFmtId="0" fontId="0" fillId="43" borderId="66" xfId="0" applyFill="1" applyBorder="1" applyAlignment="1">
      <alignment vertical="center"/>
    </xf>
    <xf numFmtId="0" fontId="0" fillId="43" borderId="87" xfId="0" applyFill="1" applyBorder="1" applyAlignment="1">
      <alignment vertical="center"/>
    </xf>
    <xf numFmtId="0" fontId="0" fillId="43" borderId="85" xfId="0" applyFill="1" applyBorder="1" applyAlignment="1">
      <alignment horizontal="left" vertical="center"/>
    </xf>
    <xf numFmtId="0" fontId="0" fillId="40" borderId="85" xfId="0" quotePrefix="1" applyFill="1" applyBorder="1" applyAlignment="1">
      <alignment horizontal="left" vertical="center" wrapText="1"/>
    </xf>
    <xf numFmtId="0" fontId="0" fillId="40" borderId="66" xfId="0" quotePrefix="1" applyFill="1" applyBorder="1" applyAlignment="1">
      <alignment horizontal="left" vertical="center" wrapText="1"/>
    </xf>
    <xf numFmtId="0" fontId="0" fillId="40" borderId="87" xfId="0" quotePrefix="1" applyFill="1" applyBorder="1" applyAlignment="1">
      <alignment horizontal="left" vertical="center" wrapText="1"/>
    </xf>
    <xf numFmtId="0" fontId="0" fillId="40" borderId="85" xfId="0" applyFill="1" applyBorder="1" applyAlignment="1">
      <alignment horizontal="center" vertical="center"/>
    </xf>
    <xf numFmtId="0" fontId="0" fillId="40" borderId="66" xfId="0" applyFill="1" applyBorder="1" applyAlignment="1">
      <alignment horizontal="center" vertical="center"/>
    </xf>
    <xf numFmtId="0" fontId="0" fillId="40" borderId="87" xfId="0" applyFill="1" applyBorder="1" applyAlignment="1">
      <alignment horizontal="center" vertical="center"/>
    </xf>
    <xf numFmtId="0" fontId="0" fillId="43" borderId="0" xfId="0" quotePrefix="1" applyFill="1" applyAlignment="1">
      <alignment horizontal="left" vertical="center" wrapText="1"/>
    </xf>
    <xf numFmtId="0" fontId="6" fillId="11" borderId="65" xfId="210" applyFont="1" applyFill="1" applyBorder="1" applyAlignment="1">
      <alignment horizontal="center" vertical="center"/>
    </xf>
    <xf numFmtId="0" fontId="6" fillId="11" borderId="106" xfId="210" applyFont="1" applyFill="1" applyBorder="1" applyAlignment="1">
      <alignment horizontal="center" vertical="center"/>
    </xf>
    <xf numFmtId="0" fontId="0" fillId="7" borderId="29" xfId="210" applyFont="1" applyFill="1" applyBorder="1" applyAlignment="1">
      <alignment horizontal="left" vertical="center" wrapText="1"/>
    </xf>
    <xf numFmtId="0" fontId="0" fillId="0" borderId="119" xfId="210" applyFont="1" applyBorder="1" applyAlignment="1">
      <alignment horizontal="left" vertical="center" wrapText="1"/>
    </xf>
    <xf numFmtId="0" fontId="0" fillId="7" borderId="32" xfId="210" applyFont="1" applyFill="1" applyBorder="1" applyAlignment="1">
      <alignment horizontal="left" vertical="center" wrapText="1"/>
    </xf>
    <xf numFmtId="0" fontId="0" fillId="0" borderId="105" xfId="210" applyFont="1" applyBorder="1" applyAlignment="1">
      <alignment horizontal="left" vertical="center" wrapText="1"/>
    </xf>
  </cellXfs>
  <cellStyles count="304">
    <cellStyle name="20% - Accent1 2" xfId="1"/>
    <cellStyle name="20% - Accent1 2 2" xfId="2"/>
    <cellStyle name="20% - Accent2 2" xfId="3"/>
    <cellStyle name="20% - Accent2 2 2" xfId="4"/>
    <cellStyle name="20% - Accent3 2" xfId="5"/>
    <cellStyle name="20% - Accent3 2 2" xfId="6"/>
    <cellStyle name="20% - Accent4 2" xfId="7"/>
    <cellStyle name="20% - Accent4 2 2" xfId="8"/>
    <cellStyle name="20% - Accent5 2" xfId="9"/>
    <cellStyle name="20% - Accent5 2 2" xfId="10"/>
    <cellStyle name="20% - Accent6 2" xfId="11"/>
    <cellStyle name="20% - Accent6 2 2" xfId="12"/>
    <cellStyle name="20% - アクセント 1" xfId="13"/>
    <cellStyle name="20% - アクセント 1 2" xfId="14"/>
    <cellStyle name="20% - アクセント 1 2 2" xfId="15"/>
    <cellStyle name="20% - アクセント 1 3" xfId="16"/>
    <cellStyle name="20% - アクセント 1 3 2" xfId="17"/>
    <cellStyle name="20% - アクセント 1 4" xfId="18"/>
    <cellStyle name="20% - アクセント 2" xfId="19"/>
    <cellStyle name="20% - アクセント 2 2" xfId="20"/>
    <cellStyle name="20% - アクセント 2 2 2" xfId="21"/>
    <cellStyle name="20% - アクセント 2 3" xfId="22"/>
    <cellStyle name="20% - アクセント 2 3 2" xfId="23"/>
    <cellStyle name="20% - アクセント 2 4" xfId="24"/>
    <cellStyle name="20% - アクセント 3" xfId="25"/>
    <cellStyle name="20% - アクセント 3 2" xfId="26"/>
    <cellStyle name="20% - アクセント 3 2 2" xfId="27"/>
    <cellStyle name="20% - アクセント 3 3" xfId="28"/>
    <cellStyle name="20% - アクセント 3 3 2" xfId="29"/>
    <cellStyle name="20% - アクセント 3 4" xfId="30"/>
    <cellStyle name="20% - アクセント 4" xfId="31"/>
    <cellStyle name="20% - アクセント 4 2" xfId="32"/>
    <cellStyle name="20% - アクセント 4 2 2" xfId="33"/>
    <cellStyle name="20% - アクセント 4 3" xfId="34"/>
    <cellStyle name="20% - アクセント 4 3 2" xfId="35"/>
    <cellStyle name="20% - アクセント 4 4" xfId="36"/>
    <cellStyle name="20% - アクセント 5" xfId="37"/>
    <cellStyle name="20% - アクセント 5 2" xfId="38"/>
    <cellStyle name="20% - アクセント 5 2 2" xfId="39"/>
    <cellStyle name="20% - アクセント 5 3" xfId="40"/>
    <cellStyle name="20% - アクセント 5 3 2" xfId="41"/>
    <cellStyle name="20% - アクセント 5 4" xfId="42"/>
    <cellStyle name="20% - アクセント 6" xfId="43"/>
    <cellStyle name="20% - アクセント 6 2" xfId="44"/>
    <cellStyle name="20% - アクセント 6 2 2" xfId="45"/>
    <cellStyle name="20% - アクセント 6 3" xfId="46"/>
    <cellStyle name="20% - アクセント 6 3 2" xfId="47"/>
    <cellStyle name="20% - アクセント 6 4" xfId="48"/>
    <cellStyle name="40% - Accent1 2" xfId="49"/>
    <cellStyle name="40% - Accent1 2 2" xfId="50"/>
    <cellStyle name="40% - Accent2 2" xfId="51"/>
    <cellStyle name="40% - Accent2 2 2" xfId="52"/>
    <cellStyle name="40% - Accent3 2" xfId="53"/>
    <cellStyle name="40% - Accent3 2 2" xfId="54"/>
    <cellStyle name="40% - Accent4 2" xfId="55"/>
    <cellStyle name="40% - Accent4 2 2" xfId="56"/>
    <cellStyle name="40% - Accent5 2" xfId="57"/>
    <cellStyle name="40% - Accent5 2 2" xfId="58"/>
    <cellStyle name="40% - Accent6 2" xfId="59"/>
    <cellStyle name="40% - Accent6 2 2" xfId="60"/>
    <cellStyle name="40% - アクセント 1" xfId="61"/>
    <cellStyle name="40% - アクセント 1 2" xfId="62"/>
    <cellStyle name="40% - アクセント 1 2 2" xfId="63"/>
    <cellStyle name="40% - アクセント 1 3" xfId="64"/>
    <cellStyle name="40% - アクセント 1 3 2" xfId="65"/>
    <cellStyle name="40% - アクセント 1 4" xfId="66"/>
    <cellStyle name="40% - アクセント 2" xfId="67"/>
    <cellStyle name="40% - アクセント 2 2" xfId="68"/>
    <cellStyle name="40% - アクセント 2 2 2" xfId="69"/>
    <cellStyle name="40% - アクセント 2 3" xfId="70"/>
    <cellStyle name="40% - アクセント 2 3 2" xfId="71"/>
    <cellStyle name="40% - アクセント 2 4" xfId="72"/>
    <cellStyle name="40% - アクセント 3" xfId="73"/>
    <cellStyle name="40% - アクセント 3 2" xfId="74"/>
    <cellStyle name="40% - アクセント 3 2 2" xfId="75"/>
    <cellStyle name="40% - アクセント 3 3" xfId="76"/>
    <cellStyle name="40% - アクセント 3 3 2" xfId="77"/>
    <cellStyle name="40% - アクセント 3 4" xfId="78"/>
    <cellStyle name="40% - アクセント 4" xfId="79"/>
    <cellStyle name="40% - アクセント 4 2" xfId="80"/>
    <cellStyle name="40% - アクセント 4 2 2" xfId="81"/>
    <cellStyle name="40% - アクセント 4 3" xfId="82"/>
    <cellStyle name="40% - アクセント 4 3 2" xfId="83"/>
    <cellStyle name="40% - アクセント 4 4" xfId="84"/>
    <cellStyle name="40% - アクセント 5" xfId="85"/>
    <cellStyle name="40% - アクセント 5 2" xfId="86"/>
    <cellStyle name="40% - アクセント 5 2 2" xfId="87"/>
    <cellStyle name="40% - アクセント 5 3" xfId="88"/>
    <cellStyle name="40% - アクセント 5 3 2" xfId="89"/>
    <cellStyle name="40% - アクセント 5 4" xfId="90"/>
    <cellStyle name="40% - アクセント 6" xfId="91"/>
    <cellStyle name="40% - アクセント 6 2" xfId="92"/>
    <cellStyle name="40% - アクセント 6 2 2" xfId="93"/>
    <cellStyle name="40% - アクセント 6 3" xfId="94"/>
    <cellStyle name="40% - アクセント 6 3 2" xfId="95"/>
    <cellStyle name="40% - アクセント 6 4" xfId="96"/>
    <cellStyle name="60% - Accent1 2" xfId="97"/>
    <cellStyle name="60% - Accent1 2 2" xfId="98"/>
    <cellStyle name="60% - Accent2 2" xfId="99"/>
    <cellStyle name="60% - Accent2 2 2" xfId="100"/>
    <cellStyle name="60% - Accent3 2" xfId="101"/>
    <cellStyle name="60% - Accent3 2 2" xfId="102"/>
    <cellStyle name="60% - Accent4 2" xfId="103"/>
    <cellStyle name="60% - Accent4 2 2" xfId="104"/>
    <cellStyle name="60% - Accent5 2" xfId="105"/>
    <cellStyle name="60% - Accent5 2 2" xfId="106"/>
    <cellStyle name="60% - Accent6 2" xfId="107"/>
    <cellStyle name="60% - Accent6 2 2" xfId="108"/>
    <cellStyle name="60% - アクセント 1" xfId="109"/>
    <cellStyle name="60% - アクセント 1 2" xfId="110"/>
    <cellStyle name="60% - アクセント 2" xfId="111"/>
    <cellStyle name="60% - アクセント 2 2" xfId="112"/>
    <cellStyle name="60% - アクセント 3" xfId="113"/>
    <cellStyle name="60% - アクセント 3 2" xfId="114"/>
    <cellStyle name="60% - アクセント 4" xfId="115"/>
    <cellStyle name="60% - アクセント 4 2" xfId="116"/>
    <cellStyle name="60% - アクセント 5" xfId="117"/>
    <cellStyle name="60% - アクセント 5 2" xfId="118"/>
    <cellStyle name="60% - アクセント 6" xfId="119"/>
    <cellStyle name="60% - アクセント 6 2" xfId="120"/>
    <cellStyle name="Accent1 2" xfId="121"/>
    <cellStyle name="Accent1 2 2" xfId="122"/>
    <cellStyle name="Accent2 2" xfId="123"/>
    <cellStyle name="Accent2 2 2" xfId="124"/>
    <cellStyle name="Accent3 2" xfId="125"/>
    <cellStyle name="Accent3 2 2" xfId="126"/>
    <cellStyle name="Accent4 2" xfId="127"/>
    <cellStyle name="Accent4 2 2" xfId="128"/>
    <cellStyle name="Accent5 2" xfId="129"/>
    <cellStyle name="Accent5 2 2" xfId="130"/>
    <cellStyle name="Accent6 2" xfId="131"/>
    <cellStyle name="Accent6 2 2" xfId="132"/>
    <cellStyle name="Bad 2" xfId="133"/>
    <cellStyle name="Bad 2 2" xfId="134"/>
    <cellStyle name="Calc Currency (0)" xfId="135"/>
    <cellStyle name="Calc Currency (0) 2" xfId="136"/>
    <cellStyle name="Calculation 2" xfId="137"/>
    <cellStyle name="Calculation 2 2" xfId="138"/>
    <cellStyle name="Check Cell 2" xfId="139"/>
    <cellStyle name="Check Cell 2 2" xfId="140"/>
    <cellStyle name="Explanatory Text 2" xfId="141"/>
    <cellStyle name="Explanatory Text 2 2" xfId="142"/>
    <cellStyle name="Good 2" xfId="143"/>
    <cellStyle name="Good 2 2" xfId="144"/>
    <cellStyle name="Header1" xfId="145"/>
    <cellStyle name="Header1 2" xfId="146"/>
    <cellStyle name="Header2" xfId="147"/>
    <cellStyle name="Header2 2" xfId="148"/>
    <cellStyle name="Heading 1 2" xfId="149"/>
    <cellStyle name="Heading 1 2 2" xfId="150"/>
    <cellStyle name="Heading 2 2" xfId="151"/>
    <cellStyle name="Heading 2 2 2" xfId="152"/>
    <cellStyle name="Heading 3 2" xfId="153"/>
    <cellStyle name="Heading 3 2 2" xfId="154"/>
    <cellStyle name="Heading 4 2" xfId="155"/>
    <cellStyle name="Heading 4 2 2" xfId="156"/>
    <cellStyle name="Hyperlink" xfId="157" builtinId="8"/>
    <cellStyle name="Hyperlink 10" xfId="158"/>
    <cellStyle name="Hyperlink 2" xfId="159"/>
    <cellStyle name="Hyperlink 2 2" xfId="160"/>
    <cellStyle name="Hyperlink 2 2 2" xfId="161"/>
    <cellStyle name="Hyperlink 2 2 2 2" xfId="162"/>
    <cellStyle name="Hyperlink 2 2 3" xfId="163"/>
    <cellStyle name="Hyperlink 2 3" xfId="164"/>
    <cellStyle name="Hyperlink 2_(01-03) C-SCADA_UserManagement_ST_Testcase" xfId="165"/>
    <cellStyle name="Hyperlink 3" xfId="166"/>
    <cellStyle name="Hyperlink 3 2" xfId="167"/>
    <cellStyle name="Hyperlink 4" xfId="168"/>
    <cellStyle name="Hyperlink 4 2" xfId="169"/>
    <cellStyle name="Hyperlink 5" xfId="170"/>
    <cellStyle name="Hyperlink 5 2" xfId="171"/>
    <cellStyle name="Hyperlink 6" xfId="172"/>
    <cellStyle name="Hyperlink 6 2" xfId="173"/>
    <cellStyle name="Hyperlink 7" xfId="174"/>
    <cellStyle name="Hyperlink 7 2" xfId="175"/>
    <cellStyle name="Hyperlink 8" xfId="176"/>
    <cellStyle name="Hyperlink 8 2" xfId="177"/>
    <cellStyle name="Hyperlink 9" xfId="178"/>
    <cellStyle name="IBM(401K)" xfId="179"/>
    <cellStyle name="Input 2" xfId="180"/>
    <cellStyle name="Input 2 2" xfId="181"/>
    <cellStyle name="J401K" xfId="182"/>
    <cellStyle name="Linked Cell 2" xfId="183"/>
    <cellStyle name="Linked Cell 2 2" xfId="184"/>
    <cellStyle name="Neutral 2" xfId="185"/>
    <cellStyle name="Neutral 2 2" xfId="186"/>
    <cellStyle name="Normal" xfId="0" builtinId="0"/>
    <cellStyle name="Normal 10" xfId="187"/>
    <cellStyle name="Normal 10 2" xfId="188"/>
    <cellStyle name="Normal 11" xfId="189"/>
    <cellStyle name="Normal 11 2" xfId="190"/>
    <cellStyle name="Normal 12" xfId="191"/>
    <cellStyle name="Normal 13" xfId="192"/>
    <cellStyle name="Normal 13 2" xfId="193"/>
    <cellStyle name="Normal 2" xfId="194"/>
    <cellStyle name="Normal 2 2" xfId="195"/>
    <cellStyle name="Normal 2 2 2" xfId="196"/>
    <cellStyle name="Normal 2 2 2 2" xfId="197"/>
    <cellStyle name="Normal 2 2 3" xfId="198"/>
    <cellStyle name="Normal 2 2 3 2" xfId="199"/>
    <cellStyle name="Normal 2 2 4" xfId="200"/>
    <cellStyle name="Normal 2 2 4 2" xfId="201"/>
    <cellStyle name="Normal 2 2 5" xfId="202"/>
    <cellStyle name="Normal 2 2 5 2" xfId="203"/>
    <cellStyle name="Normal 2 2 6" xfId="204"/>
    <cellStyle name="Normal 2 2 6 2" xfId="205"/>
    <cellStyle name="Normal 2 2 7" xfId="206"/>
    <cellStyle name="Normal 2 3" xfId="207"/>
    <cellStyle name="Normal 2 3 2" xfId="208"/>
    <cellStyle name="Normal 2 3_(01-03) C-SCADA_UserManagement_ST_Testcase" xfId="209"/>
    <cellStyle name="Normal 2 4" xfId="210"/>
    <cellStyle name="Normal 2 5" xfId="211"/>
    <cellStyle name="Normal 2 6" xfId="212"/>
    <cellStyle name="Normal 2 7" xfId="213"/>
    <cellStyle name="Normal 2 8" xfId="214"/>
    <cellStyle name="Normal 2_(01-03) C-SCADA_UserManagement_ST_Testcase" xfId="215"/>
    <cellStyle name="Normal 3" xfId="216"/>
    <cellStyle name="Normal 3 2" xfId="217"/>
    <cellStyle name="Normal 4" xfId="218"/>
    <cellStyle name="Normal 4 2" xfId="219"/>
    <cellStyle name="Normal 4 3" xfId="220"/>
    <cellStyle name="Normal 5" xfId="221"/>
    <cellStyle name="Normal 6" xfId="222"/>
    <cellStyle name="Normal 6 2" xfId="223"/>
    <cellStyle name="Normal 7" xfId="224"/>
    <cellStyle name="Normal 7 2" xfId="225"/>
    <cellStyle name="Normal 8" xfId="226"/>
    <cellStyle name="Normal 8 2" xfId="227"/>
    <cellStyle name="Normal 9" xfId="228"/>
    <cellStyle name="Normal 9 2" xfId="229"/>
    <cellStyle name="Note 2" xfId="230"/>
    <cellStyle name="Note 2 2" xfId="231"/>
    <cellStyle name="Note 3" xfId="232"/>
    <cellStyle name="Note 3 2" xfId="233"/>
    <cellStyle name="Output 2" xfId="234"/>
    <cellStyle name="Output 2 2" xfId="235"/>
    <cellStyle name="Percent 2" xfId="236"/>
    <cellStyle name="Percent 2 2" xfId="237"/>
    <cellStyle name="PSChar" xfId="238"/>
    <cellStyle name="PSChar 2" xfId="239"/>
    <cellStyle name="PSHeading" xfId="240"/>
    <cellStyle name="PSHeading 2" xfId="241"/>
    <cellStyle name="subhead" xfId="242"/>
    <cellStyle name="subhead 2" xfId="243"/>
    <cellStyle name="Title 2" xfId="244"/>
    <cellStyle name="Title 2 2" xfId="245"/>
    <cellStyle name="Total 2" xfId="246"/>
    <cellStyle name="Total 2 2" xfId="247"/>
    <cellStyle name="Warning Text 2" xfId="248"/>
    <cellStyle name="Warning Text 2 2" xfId="249"/>
    <cellStyle name="アクセント 1" xfId="250"/>
    <cellStyle name="アクセント 1 2" xfId="251"/>
    <cellStyle name="アクセント 2" xfId="252"/>
    <cellStyle name="アクセント 2 2" xfId="253"/>
    <cellStyle name="アクセント 3" xfId="254"/>
    <cellStyle name="アクセント 3 2" xfId="255"/>
    <cellStyle name="アクセント 4" xfId="256"/>
    <cellStyle name="アクセント 4 2" xfId="257"/>
    <cellStyle name="アクセント 5" xfId="258"/>
    <cellStyle name="アクセント 5 2" xfId="259"/>
    <cellStyle name="アクセント 6" xfId="260"/>
    <cellStyle name="アクセント 6 2" xfId="261"/>
    <cellStyle name="タイトル" xfId="262"/>
    <cellStyle name="タイトル 2" xfId="263"/>
    <cellStyle name="チェック セル" xfId="264"/>
    <cellStyle name="チェック セル 2" xfId="265"/>
    <cellStyle name="どちらでもない" xfId="266"/>
    <cellStyle name="どちらでもない 2" xfId="267"/>
    <cellStyle name="メモ" xfId="268"/>
    <cellStyle name="メモ 2" xfId="269"/>
    <cellStyle name="メモ 2 2" xfId="270"/>
    <cellStyle name="メモ 3" xfId="271"/>
    <cellStyle name="メモ 3 2" xfId="272"/>
    <cellStyle name="メモ 4" xfId="273"/>
    <cellStyle name="リンク セル" xfId="274"/>
    <cellStyle name="リンク セル 2" xfId="275"/>
    <cellStyle name="入力" xfId="276"/>
    <cellStyle name="入力 2" xfId="277"/>
    <cellStyle name="出力" xfId="278"/>
    <cellStyle name="出力 2" xfId="279"/>
    <cellStyle name="悪い" xfId="280"/>
    <cellStyle name="悪い 2" xfId="281"/>
    <cellStyle name="未定義" xfId="282"/>
    <cellStyle name="標準 2" xfId="283"/>
    <cellStyle name="標準 3" xfId="284"/>
    <cellStyle name="標準_20050516 システム化要求分析票_サンプル" xfId="285"/>
    <cellStyle name="良い" xfId="286"/>
    <cellStyle name="良い 2" xfId="287"/>
    <cellStyle name="見出し 1" xfId="288"/>
    <cellStyle name="見出し 1 2" xfId="289"/>
    <cellStyle name="見出し 2" xfId="290"/>
    <cellStyle name="見出し 2 2" xfId="291"/>
    <cellStyle name="見出し 3" xfId="292"/>
    <cellStyle name="見出し 3 2" xfId="293"/>
    <cellStyle name="見出し 4" xfId="294"/>
    <cellStyle name="見出し 4 2" xfId="295"/>
    <cellStyle name="計算" xfId="296"/>
    <cellStyle name="計算 2" xfId="297"/>
    <cellStyle name="説明文" xfId="298"/>
    <cellStyle name="説明文 2" xfId="299"/>
    <cellStyle name="警告文" xfId="300"/>
    <cellStyle name="警告文 2" xfId="301"/>
    <cellStyle name="集計" xfId="302"/>
    <cellStyle name="集計 2" xfId="303"/>
  </cellStyles>
  <dxfs count="11">
    <dxf>
      <font>
        <b/>
        <i val="0"/>
        <condense val="0"/>
        <extend val="0"/>
        <color indexed="10"/>
      </font>
      <fill>
        <patternFill patternType="solid">
          <fgColor indexed="41"/>
          <bgColor indexed="47"/>
        </patternFill>
      </fill>
    </dxf>
    <dxf>
      <font>
        <b val="0"/>
        <condense val="0"/>
        <extend val="0"/>
        <color indexed="0"/>
      </font>
      <fill>
        <patternFill patternType="solid">
          <fgColor indexed="41"/>
          <bgColor indexed="22"/>
        </patternFill>
      </fill>
    </dxf>
    <dxf>
      <font>
        <b val="0"/>
        <condense val="0"/>
        <extend val="0"/>
        <color indexed="12"/>
      </font>
    </dxf>
    <dxf>
      <font>
        <b/>
        <i val="0"/>
        <condense val="0"/>
        <extend val="0"/>
        <color indexed="0"/>
      </font>
      <fill>
        <patternFill patternType="solid">
          <fgColor indexed="60"/>
          <bgColor indexed="10"/>
        </patternFill>
      </fill>
    </dxf>
    <dxf>
      <font>
        <b/>
        <i val="0"/>
        <condense val="0"/>
        <extend val="0"/>
        <color indexed="12"/>
      </font>
    </dxf>
    <dxf>
      <font>
        <b val="0"/>
        <condense val="0"/>
        <extend val="0"/>
        <color indexed="0"/>
      </font>
      <fill>
        <patternFill patternType="solid">
          <fgColor indexed="60"/>
          <bgColor indexed="10"/>
        </patternFill>
      </fill>
    </dxf>
    <dxf>
      <font>
        <b val="0"/>
        <condense val="0"/>
        <extend val="0"/>
        <color indexed="0"/>
      </font>
      <fill>
        <patternFill patternType="solid">
          <fgColor indexed="41"/>
          <bgColor indexed="22"/>
        </patternFill>
      </fill>
    </dxf>
    <dxf>
      <font>
        <b val="0"/>
        <condense val="0"/>
        <extend val="0"/>
        <color indexed="12"/>
      </font>
    </dxf>
    <dxf>
      <font>
        <b/>
        <i val="0"/>
        <condense val="0"/>
        <extend val="0"/>
        <color indexed="10"/>
      </font>
      <fill>
        <patternFill patternType="solid">
          <fgColor indexed="41"/>
          <bgColor indexed="47"/>
        </patternFill>
      </fill>
    </dxf>
    <dxf>
      <font>
        <b val="0"/>
        <condense val="0"/>
        <extend val="0"/>
        <color indexed="0"/>
      </font>
      <fill>
        <patternFill patternType="solid">
          <fgColor indexed="41"/>
          <bgColor indexed="22"/>
        </patternFill>
      </fill>
    </dxf>
    <dxf>
      <font>
        <b/>
        <i val="0"/>
        <condense val="0"/>
        <extend val="0"/>
        <color indexed="12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35655B"/>
      <rgbColor rgb="000000FF"/>
      <rgbColor rgb="0000CCFF"/>
      <rgbColor rgb="00C5D6D1"/>
      <rgbColor rgb="00E1FFE1"/>
      <rgbColor rgb="00FFFF99"/>
      <rgbColor rgb="0099CCFF"/>
      <rgbColor rgb="00FF99CC"/>
      <rgbColor rgb="009FACAA"/>
      <rgbColor rgb="00EED8B7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Summary</a:t>
            </a:r>
          </a:p>
        </c:rich>
      </c:tx>
      <c:layout>
        <c:manualLayout>
          <c:xMode val="edge"/>
          <c:yMode val="edge"/>
          <c:x val="0.31482663351291612"/>
          <c:y val="7.44690663667041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4135966087224196"/>
          <c:y val="0.52129555076491518"/>
          <c:w val="0.20371176250507234"/>
          <c:h val="0.35107659541310615"/>
        </c:manualLayout>
      </c:layout>
      <c:pieChart>
        <c:varyColors val="1"/>
        <c:ser>
          <c:idx val="0"/>
          <c:order val="0"/>
          <c:spPr>
            <a:solidFill>
              <a:srgbClr val="993366"/>
            </a:solidFill>
            <a:ln w="12700">
              <a:solidFill>
                <a:srgbClr val="333333"/>
              </a:solidFill>
              <a:prstDash val="solid"/>
            </a:ln>
          </c:spPr>
          <c:dPt>
            <c:idx val="0"/>
            <c:bubble3D val="0"/>
            <c:spPr>
              <a:solidFill>
                <a:srgbClr val="008080"/>
              </a:solidFill>
              <a:ln w="12700">
                <a:solidFill>
                  <a:srgbClr val="333333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CB74-4DBC-AA1B-6A490C8F659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2700">
                <a:solidFill>
                  <a:srgbClr val="333333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CB74-4DBC-AA1B-6A490C8F6598}"/>
              </c:ext>
            </c:extLst>
          </c:dPt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0033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B74-4DBC-AA1B-6A490C8F65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Summary!$G$7:$G$8</c:f>
              <c:numCache>
                <c:formatCode>0</c:formatCode>
                <c:ptCount val="2"/>
                <c:pt idx="0">
                  <c:v>13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74-4DBC-AA1B-6A490C8F65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3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C5D6D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3" Type="http://schemas.openxmlformats.org/officeDocument/2006/relationships/image" Target="../media/image14.png"/><Relationship Id="rId7" Type="http://schemas.openxmlformats.org/officeDocument/2006/relationships/image" Target="../media/image18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17.png"/><Relationship Id="rId11" Type="http://schemas.openxmlformats.org/officeDocument/2006/relationships/image" Target="../media/image22.png"/><Relationship Id="rId5" Type="http://schemas.openxmlformats.org/officeDocument/2006/relationships/image" Target="../media/image16.png"/><Relationship Id="rId10" Type="http://schemas.openxmlformats.org/officeDocument/2006/relationships/image" Target="../media/image21.png"/><Relationship Id="rId4" Type="http://schemas.openxmlformats.org/officeDocument/2006/relationships/image" Target="../media/image15.png"/><Relationship Id="rId9" Type="http://schemas.openxmlformats.org/officeDocument/2006/relationships/image" Target="../media/image2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0</xdr:row>
      <xdr:rowOff>0</xdr:rowOff>
    </xdr:from>
    <xdr:to>
      <xdr:col>2</xdr:col>
      <xdr:colOff>323850</xdr:colOff>
      <xdr:row>0</xdr:row>
      <xdr:rowOff>9525</xdr:rowOff>
    </xdr:to>
    <xdr:pic>
      <xdr:nvPicPr>
        <xdr:cNvPr id="1533861" name="Picture 1">
          <a:extLst>
            <a:ext uri="{FF2B5EF4-FFF2-40B4-BE49-F238E27FC236}">
              <a16:creationId xmlns:a16="http://schemas.microsoft.com/office/drawing/2014/main" id="{6FF3C66B-3E83-9663-DEAC-F52273846E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0"/>
          <a:ext cx="895350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114300</xdr:colOff>
      <xdr:row>0</xdr:row>
      <xdr:rowOff>0</xdr:rowOff>
    </xdr:from>
    <xdr:to>
      <xdr:col>6</xdr:col>
      <xdr:colOff>2009775</xdr:colOff>
      <xdr:row>0</xdr:row>
      <xdr:rowOff>9525</xdr:rowOff>
    </xdr:to>
    <xdr:pic>
      <xdr:nvPicPr>
        <xdr:cNvPr id="1533862" name="Picture 2">
          <a:extLst>
            <a:ext uri="{FF2B5EF4-FFF2-40B4-BE49-F238E27FC236}">
              <a16:creationId xmlns:a16="http://schemas.microsoft.com/office/drawing/2014/main" id="{74367D1B-240C-FBFB-F563-AE334B67B9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5100" y="0"/>
          <a:ext cx="54959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85725</xdr:colOff>
      <xdr:row>0</xdr:row>
      <xdr:rowOff>0</xdr:rowOff>
    </xdr:from>
    <xdr:to>
      <xdr:col>2</xdr:col>
      <xdr:colOff>323850</xdr:colOff>
      <xdr:row>0</xdr:row>
      <xdr:rowOff>9525</xdr:rowOff>
    </xdr:to>
    <xdr:pic>
      <xdr:nvPicPr>
        <xdr:cNvPr id="1533863" name="Picture 3">
          <a:extLst>
            <a:ext uri="{FF2B5EF4-FFF2-40B4-BE49-F238E27FC236}">
              <a16:creationId xmlns:a16="http://schemas.microsoft.com/office/drawing/2014/main" id="{0406E58C-F43D-A87C-BA71-ADCB9FFFEC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0"/>
          <a:ext cx="895350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114300</xdr:colOff>
      <xdr:row>0</xdr:row>
      <xdr:rowOff>0</xdr:rowOff>
    </xdr:from>
    <xdr:to>
      <xdr:col>6</xdr:col>
      <xdr:colOff>2009775</xdr:colOff>
      <xdr:row>0</xdr:row>
      <xdr:rowOff>9525</xdr:rowOff>
    </xdr:to>
    <xdr:pic>
      <xdr:nvPicPr>
        <xdr:cNvPr id="1533864" name="Picture 4">
          <a:extLst>
            <a:ext uri="{FF2B5EF4-FFF2-40B4-BE49-F238E27FC236}">
              <a16:creationId xmlns:a16="http://schemas.microsoft.com/office/drawing/2014/main" id="{F39962FA-F39E-8149-A447-D53EC04697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5100" y="0"/>
          <a:ext cx="54959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276225</xdr:colOff>
      <xdr:row>1</xdr:row>
      <xdr:rowOff>171450</xdr:rowOff>
    </xdr:from>
    <xdr:to>
      <xdr:col>2</xdr:col>
      <xdr:colOff>1390650</xdr:colOff>
      <xdr:row>3</xdr:row>
      <xdr:rowOff>85725</xdr:rowOff>
    </xdr:to>
    <xdr:pic>
      <xdr:nvPicPr>
        <xdr:cNvPr id="1533865" name="Picture 4">
          <a:extLst>
            <a:ext uri="{FF2B5EF4-FFF2-40B4-BE49-F238E27FC236}">
              <a16:creationId xmlns:a16="http://schemas.microsoft.com/office/drawing/2014/main" id="{30BD344B-4B36-8B38-8B17-3E831467F8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285750"/>
          <a:ext cx="17716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2</xdr:row>
      <xdr:rowOff>266700</xdr:rowOff>
    </xdr:from>
    <xdr:to>
      <xdr:col>10</xdr:col>
      <xdr:colOff>1171575</xdr:colOff>
      <xdr:row>8</xdr:row>
      <xdr:rowOff>28575</xdr:rowOff>
    </xdr:to>
    <xdr:graphicFrame macro="">
      <xdr:nvGraphicFramePr>
        <xdr:cNvPr id="1245115" name="Chart 8">
          <a:extLst>
            <a:ext uri="{FF2B5EF4-FFF2-40B4-BE49-F238E27FC236}">
              <a16:creationId xmlns:a16="http://schemas.microsoft.com/office/drawing/2014/main" id="{5AA56B53-DE1B-ED13-A6D1-0966D05BA1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8</xdr:row>
          <xdr:rowOff>276225</xdr:rowOff>
        </xdr:from>
        <xdr:to>
          <xdr:col>2</xdr:col>
          <xdr:colOff>1085850</xdr:colOff>
          <xdr:row>8</xdr:row>
          <xdr:rowOff>800100</xdr:rowOff>
        </xdr:to>
        <xdr:sp macro="" textlink="">
          <xdr:nvSpPr>
            <xdr:cNvPr id="2058" name="cbbSelect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ECDBCF74-2D1D-7807-C183-6297EE75DB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1219200</xdr:colOff>
          <xdr:row>8</xdr:row>
          <xdr:rowOff>180975</xdr:rowOff>
        </xdr:from>
        <xdr:to>
          <xdr:col>3</xdr:col>
          <xdr:colOff>323850</xdr:colOff>
          <xdr:row>8</xdr:row>
          <xdr:rowOff>800100</xdr:rowOff>
        </xdr:to>
        <xdr:sp macro="" textlink="">
          <xdr:nvSpPr>
            <xdr:cNvPr id="2059" name="btnUpdate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FB8CA63A-5142-58BD-E1A4-FC8C5CC493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47625</xdr:colOff>
      <xdr:row>0</xdr:row>
      <xdr:rowOff>123825</xdr:rowOff>
    </xdr:from>
    <xdr:to>
      <xdr:col>2</xdr:col>
      <xdr:colOff>1152525</xdr:colOff>
      <xdr:row>2</xdr:row>
      <xdr:rowOff>0</xdr:rowOff>
    </xdr:to>
    <xdr:pic>
      <xdr:nvPicPr>
        <xdr:cNvPr id="1245116" name="Picture 4">
          <a:extLst>
            <a:ext uri="{FF2B5EF4-FFF2-40B4-BE49-F238E27FC236}">
              <a16:creationId xmlns:a16="http://schemas.microsoft.com/office/drawing/2014/main" id="{D217A154-8F5B-804B-E445-29AD6CDC92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23825"/>
          <a:ext cx="1914525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0.66896</cdr:x>
      <cdr:y>0.6902</cdr:y>
    </cdr:from>
    <cdr:to>
      <cdr:x>0.67627</cdr:x>
      <cdr:y>0.8077</cdr:y>
    </cdr:to>
    <cdr:sp macro="" textlink="">
      <cdr:nvSpPr>
        <cdr:cNvPr id="87078" name="Text Box 1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21534" y="758696"/>
          <a:ext cx="11658" cy="96333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</cdr:spPr>
      <cdr:txBody>
        <a:bodyPr xmlns:a="http://schemas.openxmlformats.org/drawingml/2006/main" vertOverflow="clip" wrap="square" lIns="18288" tIns="0" rIns="0" bIns="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endParaRPr lang="en-US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1</xdr:row>
      <xdr:rowOff>28575</xdr:rowOff>
    </xdr:from>
    <xdr:to>
      <xdr:col>2</xdr:col>
      <xdr:colOff>1714500</xdr:colOff>
      <xdr:row>3</xdr:row>
      <xdr:rowOff>180975</xdr:rowOff>
    </xdr:to>
    <xdr:pic>
      <xdr:nvPicPr>
        <xdr:cNvPr id="1032862" name="Picture 1">
          <a:extLst>
            <a:ext uri="{FF2B5EF4-FFF2-40B4-BE49-F238E27FC236}">
              <a16:creationId xmlns:a16="http://schemas.microsoft.com/office/drawing/2014/main" id="{74436072-2B3E-0BC6-5C0D-F58ED8F6AA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04775"/>
          <a:ext cx="61912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3</xdr:row>
          <xdr:rowOff>0</xdr:rowOff>
        </xdr:from>
        <xdr:to>
          <xdr:col>4</xdr:col>
          <xdr:colOff>1971675</xdr:colOff>
          <xdr:row>4</xdr:row>
          <xdr:rowOff>171450</xdr:rowOff>
        </xdr:to>
        <xdr:sp macro="" textlink="">
          <xdr:nvSpPr>
            <xdr:cNvPr id="3079" name="btnAddTC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980D30F8-BE7E-81F0-7A0E-C89D9F7928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2066925</xdr:colOff>
          <xdr:row>3</xdr:row>
          <xdr:rowOff>0</xdr:rowOff>
        </xdr:from>
        <xdr:to>
          <xdr:col>4</xdr:col>
          <xdr:colOff>4000500</xdr:colOff>
          <xdr:row>4</xdr:row>
          <xdr:rowOff>171450</xdr:rowOff>
        </xdr:to>
        <xdr:sp macro="" textlink="">
          <xdr:nvSpPr>
            <xdr:cNvPr id="3080" name="btnExpand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7DEBF12E-1E42-5520-9F27-9FA7E76675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4086225</xdr:colOff>
          <xdr:row>2</xdr:row>
          <xdr:rowOff>400050</xdr:rowOff>
        </xdr:from>
        <xdr:to>
          <xdr:col>4</xdr:col>
          <xdr:colOff>5972175</xdr:colOff>
          <xdr:row>4</xdr:row>
          <xdr:rowOff>142875</xdr:rowOff>
        </xdr:to>
        <xdr:sp macro="" textlink="">
          <xdr:nvSpPr>
            <xdr:cNvPr id="3081" name="btnCollapse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B566C43C-E5BD-BBA1-8A5F-97DE4DD582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</xdr:row>
          <xdr:rowOff>0</xdr:rowOff>
        </xdr:from>
        <xdr:to>
          <xdr:col>4</xdr:col>
          <xdr:colOff>1962150</xdr:colOff>
          <xdr:row>4</xdr:row>
          <xdr:rowOff>171450</xdr:rowOff>
        </xdr:to>
        <xdr:sp macro="" textlink="">
          <xdr:nvSpPr>
            <xdr:cNvPr id="4109" name="btnAddTC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46E9DE70-9DB4-6AD2-09CB-010C47B20E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2124075</xdr:colOff>
          <xdr:row>3</xdr:row>
          <xdr:rowOff>0</xdr:rowOff>
        </xdr:from>
        <xdr:to>
          <xdr:col>4</xdr:col>
          <xdr:colOff>4000500</xdr:colOff>
          <xdr:row>4</xdr:row>
          <xdr:rowOff>171450</xdr:rowOff>
        </xdr:to>
        <xdr:sp macro="" textlink="">
          <xdr:nvSpPr>
            <xdr:cNvPr id="4110" name="btnExpand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ACC58A9C-A7DD-5BB7-24DF-A60D628B30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4086225</xdr:colOff>
          <xdr:row>2</xdr:row>
          <xdr:rowOff>400050</xdr:rowOff>
        </xdr:from>
        <xdr:to>
          <xdr:col>4</xdr:col>
          <xdr:colOff>6010275</xdr:colOff>
          <xdr:row>4</xdr:row>
          <xdr:rowOff>142875</xdr:rowOff>
        </xdr:to>
        <xdr:sp macro="" textlink="">
          <xdr:nvSpPr>
            <xdr:cNvPr id="4111" name="btnCollapse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FEB0DE0-DA3E-6A2B-4AD6-FC498904E1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257175</xdr:colOff>
      <xdr:row>25</xdr:row>
      <xdr:rowOff>0</xdr:rowOff>
    </xdr:from>
    <xdr:to>
      <xdr:col>5</xdr:col>
      <xdr:colOff>1390650</xdr:colOff>
      <xdr:row>25</xdr:row>
      <xdr:rowOff>0</xdr:rowOff>
    </xdr:to>
    <xdr:grpSp>
      <xdr:nvGrpSpPr>
        <xdr:cNvPr id="1686489" name="Nhóm 22">
          <a:extLst>
            <a:ext uri="{FF2B5EF4-FFF2-40B4-BE49-F238E27FC236}">
              <a16:creationId xmlns:a16="http://schemas.microsoft.com/office/drawing/2014/main" id="{555E896C-4324-23DC-761B-F63DEE4C3DED}"/>
            </a:ext>
          </a:extLst>
        </xdr:cNvPr>
        <xdr:cNvGrpSpPr>
          <a:grpSpLocks/>
        </xdr:cNvGrpSpPr>
      </xdr:nvGrpSpPr>
      <xdr:grpSpPr bwMode="auto">
        <a:xfrm>
          <a:off x="5379109" y="16551934"/>
          <a:ext cx="1133475" cy="0"/>
          <a:chOff x="5375414" y="73400480"/>
          <a:chExt cx="1107643" cy="993912"/>
        </a:xfrm>
      </xdr:grpSpPr>
      <xdr:pic>
        <xdr:nvPicPr>
          <xdr:cNvPr id="1686510" name="Hình ảnh 23">
            <a:extLst>
              <a:ext uri="{FF2B5EF4-FFF2-40B4-BE49-F238E27FC236}">
                <a16:creationId xmlns:a16="http://schemas.microsoft.com/office/drawing/2014/main" id="{8436DB0C-DD59-95EB-05FC-BCF026161BD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375414" y="73400480"/>
            <a:ext cx="1107643" cy="99391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686511" name="Hình ảnh 24">
            <a:extLst>
              <a:ext uri="{FF2B5EF4-FFF2-40B4-BE49-F238E27FC236}">
                <a16:creationId xmlns:a16="http://schemas.microsoft.com/office/drawing/2014/main" id="{18752FBC-58A6-22F5-2EE3-D1F4741371D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08968" y="73425328"/>
            <a:ext cx="854663" cy="44725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686512" name="Hình ảnh 25">
            <a:extLst>
              <a:ext uri="{FF2B5EF4-FFF2-40B4-BE49-F238E27FC236}">
                <a16:creationId xmlns:a16="http://schemas.microsoft.com/office/drawing/2014/main" id="{F6527F1C-0617-F36B-85FD-2DF14A37CBF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425109" y="74112784"/>
            <a:ext cx="182217" cy="1505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257175</xdr:colOff>
      <xdr:row>25</xdr:row>
      <xdr:rowOff>0</xdr:rowOff>
    </xdr:from>
    <xdr:to>
      <xdr:col>5</xdr:col>
      <xdr:colOff>1390650</xdr:colOff>
      <xdr:row>25</xdr:row>
      <xdr:rowOff>0</xdr:rowOff>
    </xdr:to>
    <xdr:grpSp>
      <xdr:nvGrpSpPr>
        <xdr:cNvPr id="1686490" name="Nhóm 22">
          <a:extLst>
            <a:ext uri="{FF2B5EF4-FFF2-40B4-BE49-F238E27FC236}">
              <a16:creationId xmlns:a16="http://schemas.microsoft.com/office/drawing/2014/main" id="{8C728F06-AED8-BD1D-8556-400D6B4D9F78}"/>
            </a:ext>
          </a:extLst>
        </xdr:cNvPr>
        <xdr:cNvGrpSpPr>
          <a:grpSpLocks/>
        </xdr:cNvGrpSpPr>
      </xdr:nvGrpSpPr>
      <xdr:grpSpPr bwMode="auto">
        <a:xfrm>
          <a:off x="5379109" y="16551934"/>
          <a:ext cx="1133475" cy="0"/>
          <a:chOff x="5375414" y="73400480"/>
          <a:chExt cx="1107643" cy="993912"/>
        </a:xfrm>
      </xdr:grpSpPr>
      <xdr:pic>
        <xdr:nvPicPr>
          <xdr:cNvPr id="1686507" name="Hình ảnh 23">
            <a:extLst>
              <a:ext uri="{FF2B5EF4-FFF2-40B4-BE49-F238E27FC236}">
                <a16:creationId xmlns:a16="http://schemas.microsoft.com/office/drawing/2014/main" id="{30335D0E-ED3B-773D-8784-A3610880479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375414" y="73400480"/>
            <a:ext cx="1107643" cy="99391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686508" name="Hình ảnh 24">
            <a:extLst>
              <a:ext uri="{FF2B5EF4-FFF2-40B4-BE49-F238E27FC236}">
                <a16:creationId xmlns:a16="http://schemas.microsoft.com/office/drawing/2014/main" id="{D7249297-2E2C-347B-D43B-4001BF77BC6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08968" y="73425328"/>
            <a:ext cx="854663" cy="44725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686509" name="Hình ảnh 25">
            <a:extLst>
              <a:ext uri="{FF2B5EF4-FFF2-40B4-BE49-F238E27FC236}">
                <a16:creationId xmlns:a16="http://schemas.microsoft.com/office/drawing/2014/main" id="{B477DF6B-3140-C5E3-CEEF-0F91AAB71E6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425109" y="74112784"/>
            <a:ext cx="182217" cy="1505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 editAs="oneCell">
    <xdr:from>
      <xdr:col>5</xdr:col>
      <xdr:colOff>219075</xdr:colOff>
      <xdr:row>16</xdr:row>
      <xdr:rowOff>171450</xdr:rowOff>
    </xdr:from>
    <xdr:to>
      <xdr:col>5</xdr:col>
      <xdr:colOff>1400175</xdr:colOff>
      <xdr:row>16</xdr:row>
      <xdr:rowOff>1200150</xdr:rowOff>
    </xdr:to>
    <xdr:pic>
      <xdr:nvPicPr>
        <xdr:cNvPr id="1686491" name="Hình ảnh 5">
          <a:extLst>
            <a:ext uri="{FF2B5EF4-FFF2-40B4-BE49-F238E27FC236}">
              <a16:creationId xmlns:a16="http://schemas.microsoft.com/office/drawing/2014/main" id="{0BD1071D-988C-36A9-4591-565A2E3245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0" y="8972550"/>
          <a:ext cx="1181100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219075</xdr:colOff>
      <xdr:row>17</xdr:row>
      <xdr:rowOff>161925</xdr:rowOff>
    </xdr:from>
    <xdr:to>
      <xdr:col>5</xdr:col>
      <xdr:colOff>1428750</xdr:colOff>
      <xdr:row>17</xdr:row>
      <xdr:rowOff>1228725</xdr:rowOff>
    </xdr:to>
    <xdr:pic>
      <xdr:nvPicPr>
        <xdr:cNvPr id="1686492" name="Hình ảnh 6">
          <a:extLst>
            <a:ext uri="{FF2B5EF4-FFF2-40B4-BE49-F238E27FC236}">
              <a16:creationId xmlns:a16="http://schemas.microsoft.com/office/drawing/2014/main" id="{BF131B6F-6496-EAFE-6426-E9CCDEB71D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0" y="10496550"/>
          <a:ext cx="1209675" cy="1066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228600</xdr:colOff>
      <xdr:row>19</xdr:row>
      <xdr:rowOff>180975</xdr:rowOff>
    </xdr:from>
    <xdr:to>
      <xdr:col>5</xdr:col>
      <xdr:colOff>1409700</xdr:colOff>
      <xdr:row>19</xdr:row>
      <xdr:rowOff>1209675</xdr:rowOff>
    </xdr:to>
    <xdr:pic>
      <xdr:nvPicPr>
        <xdr:cNvPr id="1686493" name="Hình ảnh 9">
          <a:extLst>
            <a:ext uri="{FF2B5EF4-FFF2-40B4-BE49-F238E27FC236}">
              <a16:creationId xmlns:a16="http://schemas.microsoft.com/office/drawing/2014/main" id="{3908D802-E3AE-D2FE-0943-12A619925C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43525" y="11982450"/>
          <a:ext cx="1181100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219075</xdr:colOff>
      <xdr:row>22</xdr:row>
      <xdr:rowOff>171450</xdr:rowOff>
    </xdr:from>
    <xdr:to>
      <xdr:col>5</xdr:col>
      <xdr:colOff>1390650</xdr:colOff>
      <xdr:row>22</xdr:row>
      <xdr:rowOff>1209675</xdr:rowOff>
    </xdr:to>
    <xdr:pic>
      <xdr:nvPicPr>
        <xdr:cNvPr id="1686494" name="Hình ảnh 47">
          <a:extLst>
            <a:ext uri="{FF2B5EF4-FFF2-40B4-BE49-F238E27FC236}">
              <a16:creationId xmlns:a16="http://schemas.microsoft.com/office/drawing/2014/main" id="{0E6E1FED-F8E3-D31A-873E-F9AFDEE143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0" y="13916025"/>
          <a:ext cx="1171575" cy="1038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238125</xdr:colOff>
      <xdr:row>24</xdr:row>
      <xdr:rowOff>180975</xdr:rowOff>
    </xdr:from>
    <xdr:to>
      <xdr:col>5</xdr:col>
      <xdr:colOff>1438275</xdr:colOff>
      <xdr:row>24</xdr:row>
      <xdr:rowOff>1238250</xdr:rowOff>
    </xdr:to>
    <xdr:pic>
      <xdr:nvPicPr>
        <xdr:cNvPr id="1686495" name="Hình ảnh 48">
          <a:extLst>
            <a:ext uri="{FF2B5EF4-FFF2-40B4-BE49-F238E27FC236}">
              <a16:creationId xmlns:a16="http://schemas.microsoft.com/office/drawing/2014/main" id="{64C087D7-42F7-5130-B9A8-1FC8A24A3B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53050" y="15382875"/>
          <a:ext cx="12001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238125</xdr:colOff>
      <xdr:row>26</xdr:row>
      <xdr:rowOff>171450</xdr:rowOff>
    </xdr:from>
    <xdr:to>
      <xdr:col>5</xdr:col>
      <xdr:colOff>1419225</xdr:colOff>
      <xdr:row>26</xdr:row>
      <xdr:rowOff>1209675</xdr:rowOff>
    </xdr:to>
    <xdr:pic>
      <xdr:nvPicPr>
        <xdr:cNvPr id="1686496" name="Hình ảnh 49">
          <a:extLst>
            <a:ext uri="{FF2B5EF4-FFF2-40B4-BE49-F238E27FC236}">
              <a16:creationId xmlns:a16="http://schemas.microsoft.com/office/drawing/2014/main" id="{3A45A536-6FA8-8AC0-2730-AFF2BF2D12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53050" y="17049750"/>
          <a:ext cx="1181100" cy="1038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219075</xdr:colOff>
      <xdr:row>55</xdr:row>
      <xdr:rowOff>180975</xdr:rowOff>
    </xdr:from>
    <xdr:to>
      <xdr:col>5</xdr:col>
      <xdr:colOff>1409700</xdr:colOff>
      <xdr:row>55</xdr:row>
      <xdr:rowOff>1209675</xdr:rowOff>
    </xdr:to>
    <xdr:pic>
      <xdr:nvPicPr>
        <xdr:cNvPr id="1686497" name="Hình ảnh 52">
          <a:extLst>
            <a:ext uri="{FF2B5EF4-FFF2-40B4-BE49-F238E27FC236}">
              <a16:creationId xmlns:a16="http://schemas.microsoft.com/office/drawing/2014/main" id="{6479E811-6CE5-EDB9-3C99-8DF91594D5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0" y="28927425"/>
          <a:ext cx="1190625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219075</xdr:colOff>
      <xdr:row>71</xdr:row>
      <xdr:rowOff>209550</xdr:rowOff>
    </xdr:from>
    <xdr:to>
      <xdr:col>5</xdr:col>
      <xdr:colOff>1409700</xdr:colOff>
      <xdr:row>71</xdr:row>
      <xdr:rowOff>1238250</xdr:rowOff>
    </xdr:to>
    <xdr:pic>
      <xdr:nvPicPr>
        <xdr:cNvPr id="1686498" name="Hình ảnh 50">
          <a:extLst>
            <a:ext uri="{FF2B5EF4-FFF2-40B4-BE49-F238E27FC236}">
              <a16:creationId xmlns:a16="http://schemas.microsoft.com/office/drawing/2014/main" id="{9D0D4798-E21E-735F-0F34-E3D9DA7511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0" y="37242750"/>
          <a:ext cx="1190625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114300</xdr:colOff>
      <xdr:row>99</xdr:row>
      <xdr:rowOff>209550</xdr:rowOff>
    </xdr:from>
    <xdr:to>
      <xdr:col>5</xdr:col>
      <xdr:colOff>609600</xdr:colOff>
      <xdr:row>99</xdr:row>
      <xdr:rowOff>676275</xdr:rowOff>
    </xdr:to>
    <xdr:pic>
      <xdr:nvPicPr>
        <xdr:cNvPr id="1686499" name="Picture 3">
          <a:extLst>
            <a:ext uri="{FF2B5EF4-FFF2-40B4-BE49-F238E27FC236}">
              <a16:creationId xmlns:a16="http://schemas.microsoft.com/office/drawing/2014/main" id="{0737E9A9-700F-1AC9-6BAC-76BE1F172A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29225" y="51996975"/>
          <a:ext cx="4953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180975</xdr:colOff>
      <xdr:row>10</xdr:row>
      <xdr:rowOff>209550</xdr:rowOff>
    </xdr:from>
    <xdr:to>
      <xdr:col>5</xdr:col>
      <xdr:colOff>1333500</xdr:colOff>
      <xdr:row>10</xdr:row>
      <xdr:rowOff>1219200</xdr:rowOff>
    </xdr:to>
    <xdr:pic>
      <xdr:nvPicPr>
        <xdr:cNvPr id="1686500" name="Picture 2">
          <a:extLst>
            <a:ext uri="{FF2B5EF4-FFF2-40B4-BE49-F238E27FC236}">
              <a16:creationId xmlns:a16="http://schemas.microsoft.com/office/drawing/2014/main" id="{4509917D-1947-E387-92B8-07C1972900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95900" y="3829050"/>
          <a:ext cx="1152525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200025</xdr:colOff>
      <xdr:row>12</xdr:row>
      <xdr:rowOff>228600</xdr:rowOff>
    </xdr:from>
    <xdr:to>
      <xdr:col>5</xdr:col>
      <xdr:colOff>1352550</xdr:colOff>
      <xdr:row>12</xdr:row>
      <xdr:rowOff>1238250</xdr:rowOff>
    </xdr:to>
    <xdr:pic>
      <xdr:nvPicPr>
        <xdr:cNvPr id="1686501" name="Picture 3">
          <a:extLst>
            <a:ext uri="{FF2B5EF4-FFF2-40B4-BE49-F238E27FC236}">
              <a16:creationId xmlns:a16="http://schemas.microsoft.com/office/drawing/2014/main" id="{AD2DBEEF-44B7-ACA3-B5F6-5220DBE47F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14950" y="6524625"/>
          <a:ext cx="1152525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180975</xdr:colOff>
      <xdr:row>11</xdr:row>
      <xdr:rowOff>228600</xdr:rowOff>
    </xdr:from>
    <xdr:to>
      <xdr:col>5</xdr:col>
      <xdr:colOff>1381125</xdr:colOff>
      <xdr:row>11</xdr:row>
      <xdr:rowOff>1238250</xdr:rowOff>
    </xdr:to>
    <xdr:pic>
      <xdr:nvPicPr>
        <xdr:cNvPr id="1686502" name="Picture 4">
          <a:extLst>
            <a:ext uri="{FF2B5EF4-FFF2-40B4-BE49-F238E27FC236}">
              <a16:creationId xmlns:a16="http://schemas.microsoft.com/office/drawing/2014/main" id="{F9BA10C8-2CDC-C641-A980-E9DDBCB253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95900" y="5172075"/>
          <a:ext cx="120015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266700</xdr:colOff>
      <xdr:row>65</xdr:row>
      <xdr:rowOff>266700</xdr:rowOff>
    </xdr:from>
    <xdr:to>
      <xdr:col>5</xdr:col>
      <xdr:colOff>1571625</xdr:colOff>
      <xdr:row>65</xdr:row>
      <xdr:rowOff>1276350</xdr:rowOff>
    </xdr:to>
    <xdr:pic>
      <xdr:nvPicPr>
        <xdr:cNvPr id="1686503" name="Picture 5">
          <a:extLst>
            <a:ext uri="{FF2B5EF4-FFF2-40B4-BE49-F238E27FC236}">
              <a16:creationId xmlns:a16="http://schemas.microsoft.com/office/drawing/2014/main" id="{9E006051-1009-B6AC-3568-F07EA9E308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81625" y="33747075"/>
          <a:ext cx="1304925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247650</xdr:colOff>
      <xdr:row>80</xdr:row>
      <xdr:rowOff>228600</xdr:rowOff>
    </xdr:from>
    <xdr:to>
      <xdr:col>5</xdr:col>
      <xdr:colOff>1552575</xdr:colOff>
      <xdr:row>80</xdr:row>
      <xdr:rowOff>1238250</xdr:rowOff>
    </xdr:to>
    <xdr:pic>
      <xdr:nvPicPr>
        <xdr:cNvPr id="1686504" name="Picture 6">
          <a:extLst>
            <a:ext uri="{FF2B5EF4-FFF2-40B4-BE49-F238E27FC236}">
              <a16:creationId xmlns:a16="http://schemas.microsoft.com/office/drawing/2014/main" id="{1D8EC41B-1F63-0EE7-43B4-72BD4036CD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62575" y="41614725"/>
          <a:ext cx="1304925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171450</xdr:colOff>
      <xdr:row>94</xdr:row>
      <xdr:rowOff>228600</xdr:rowOff>
    </xdr:from>
    <xdr:to>
      <xdr:col>5</xdr:col>
      <xdr:colOff>733425</xdr:colOff>
      <xdr:row>94</xdr:row>
      <xdr:rowOff>723900</xdr:rowOff>
    </xdr:to>
    <xdr:pic>
      <xdr:nvPicPr>
        <xdr:cNvPr id="1686505" name="Picture 7">
          <a:extLst>
            <a:ext uri="{FF2B5EF4-FFF2-40B4-BE49-F238E27FC236}">
              <a16:creationId xmlns:a16="http://schemas.microsoft.com/office/drawing/2014/main" id="{AC7E12DA-B747-2447-2E8B-6A8EA4A233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86375" y="49339500"/>
          <a:ext cx="56197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171450</xdr:colOff>
      <xdr:row>97</xdr:row>
      <xdr:rowOff>219075</xdr:rowOff>
    </xdr:from>
    <xdr:to>
      <xdr:col>5</xdr:col>
      <xdr:colOff>733425</xdr:colOff>
      <xdr:row>97</xdr:row>
      <xdr:rowOff>714375</xdr:rowOff>
    </xdr:to>
    <xdr:pic>
      <xdr:nvPicPr>
        <xdr:cNvPr id="1686506" name="Picture 9">
          <a:extLst>
            <a:ext uri="{FF2B5EF4-FFF2-40B4-BE49-F238E27FC236}">
              <a16:creationId xmlns:a16="http://schemas.microsoft.com/office/drawing/2014/main" id="{5F8DAD5E-08AD-3BA1-ABCF-4B3D25D5EE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86375" y="50892075"/>
          <a:ext cx="56197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228600</xdr:rowOff>
    </xdr:from>
    <xdr:to>
      <xdr:col>3</xdr:col>
      <xdr:colOff>1200150</xdr:colOff>
      <xdr:row>1</xdr:row>
      <xdr:rowOff>428625</xdr:rowOff>
    </xdr:to>
    <xdr:pic>
      <xdr:nvPicPr>
        <xdr:cNvPr id="1043094" name="Picture 4">
          <a:extLst>
            <a:ext uri="{FF2B5EF4-FFF2-40B4-BE49-F238E27FC236}">
              <a16:creationId xmlns:a16="http://schemas.microsoft.com/office/drawing/2014/main" id="{FB93E7F3-759A-16E7-FA32-F44BA7F025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161925"/>
          <a:ext cx="79057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6.emf"/><Relationship Id="rId10" Type="http://schemas.openxmlformats.org/officeDocument/2006/relationships/comments" Target="../comments2.xml"/><Relationship Id="rId4" Type="http://schemas.openxmlformats.org/officeDocument/2006/relationships/control" Target="../activeX/activeX3.xml"/><Relationship Id="rId9" Type="http://schemas.openxmlformats.org/officeDocument/2006/relationships/image" Target="../media/image8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9.emf"/><Relationship Id="rId10" Type="http://schemas.openxmlformats.org/officeDocument/2006/relationships/comments" Target="../comments3.xml"/><Relationship Id="rId4" Type="http://schemas.openxmlformats.org/officeDocument/2006/relationships/control" Target="../activeX/activeX6.xml"/><Relationship Id="rId9" Type="http://schemas.openxmlformats.org/officeDocument/2006/relationships/image" Target="../media/image1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B1:IV15"/>
  <sheetViews>
    <sheetView showGridLines="0" view="pageBreakPreview" zoomScale="115" zoomScaleNormal="75" zoomScaleSheetLayoutView="115" workbookViewId="0"/>
  </sheetViews>
  <sheetFormatPr defaultRowHeight="12.75"/>
  <cols>
    <col min="1" max="1" width="2.42578125" customWidth="1"/>
    <col min="2" max="2" width="9.85546875" customWidth="1"/>
    <col min="3" max="3" width="26.5703125" customWidth="1"/>
    <col min="4" max="4" width="20" customWidth="1"/>
    <col min="5" max="5" width="24.7109375" customWidth="1"/>
    <col min="6" max="6" width="23.42578125" customWidth="1"/>
    <col min="7" max="7" width="16" customWidth="1"/>
    <col min="8" max="8" width="14.7109375" customWidth="1"/>
  </cols>
  <sheetData>
    <row r="1" spans="2:256" ht="9" customHeight="1"/>
    <row r="2" spans="2:256" ht="23.25" customHeight="1">
      <c r="B2" s="371"/>
      <c r="C2" s="374"/>
      <c r="D2" s="366" t="s">
        <v>52</v>
      </c>
      <c r="E2" s="367"/>
      <c r="F2" s="367"/>
      <c r="G2" s="368"/>
    </row>
    <row r="3" spans="2:256" ht="15" customHeight="1">
      <c r="B3" s="372"/>
      <c r="C3" s="375"/>
      <c r="D3" s="377" t="s">
        <v>0</v>
      </c>
      <c r="E3" s="378"/>
      <c r="F3" s="377"/>
      <c r="G3" s="378"/>
    </row>
    <row r="4" spans="2:256" ht="15" customHeight="1">
      <c r="B4" s="373"/>
      <c r="C4" s="376"/>
      <c r="D4" s="116"/>
      <c r="E4" s="117" t="s">
        <v>1</v>
      </c>
      <c r="F4" s="377"/>
      <c r="G4" s="378"/>
    </row>
    <row r="5" spans="2:256">
      <c r="B5" s="118"/>
      <c r="C5" s="119"/>
      <c r="D5" s="120"/>
      <c r="E5" s="120"/>
      <c r="F5" s="120"/>
      <c r="G5" s="121"/>
    </row>
    <row r="6" spans="2:256" ht="60" customHeight="1">
      <c r="B6" s="379" t="s">
        <v>53</v>
      </c>
      <c r="C6" s="379"/>
      <c r="D6" s="379"/>
      <c r="E6" s="379"/>
      <c r="F6" s="379"/>
      <c r="G6" s="379"/>
      <c r="H6" s="379"/>
    </row>
    <row r="7" spans="2:256" ht="21.75" customHeight="1">
      <c r="B7" s="118"/>
      <c r="C7" s="380" t="s">
        <v>324</v>
      </c>
      <c r="D7" s="380"/>
      <c r="E7" s="380"/>
      <c r="F7" s="380"/>
      <c r="G7" s="380"/>
    </row>
    <row r="8" spans="2:256">
      <c r="B8" s="118"/>
      <c r="C8" s="119"/>
      <c r="D8" s="122"/>
      <c r="E8" s="122"/>
      <c r="F8" s="122"/>
    </row>
    <row r="9" spans="2:256" ht="23.25" customHeight="1">
      <c r="B9" s="369" t="s">
        <v>2</v>
      </c>
      <c r="C9" s="369"/>
      <c r="D9" s="369"/>
      <c r="E9" s="369"/>
      <c r="F9" s="369"/>
      <c r="G9" s="369"/>
    </row>
    <row r="10" spans="2:256" ht="20.25" customHeight="1">
      <c r="B10" s="123" t="s">
        <v>3</v>
      </c>
      <c r="C10" s="124" t="s">
        <v>4</v>
      </c>
      <c r="D10" s="124" t="s">
        <v>5</v>
      </c>
      <c r="E10" s="124" t="s">
        <v>6</v>
      </c>
      <c r="F10" s="124" t="s">
        <v>7</v>
      </c>
      <c r="G10" s="125" t="s">
        <v>6</v>
      </c>
    </row>
    <row r="11" spans="2:256" ht="19.5" customHeight="1">
      <c r="B11" s="126" t="s">
        <v>8</v>
      </c>
      <c r="C11" s="127" t="s">
        <v>9</v>
      </c>
      <c r="D11" s="128" t="s">
        <v>54</v>
      </c>
      <c r="E11" s="129">
        <v>44805</v>
      </c>
      <c r="F11" s="129" t="s">
        <v>393</v>
      </c>
      <c r="G11" s="132">
        <v>45200</v>
      </c>
    </row>
    <row r="12" spans="2:256" ht="101.25" customHeight="1">
      <c r="B12" s="130">
        <v>1.1000000000000001</v>
      </c>
      <c r="C12" s="274" t="s">
        <v>340</v>
      </c>
      <c r="D12" s="131" t="s">
        <v>54</v>
      </c>
      <c r="E12" s="132" t="s">
        <v>323</v>
      </c>
      <c r="F12" s="129" t="s">
        <v>393</v>
      </c>
      <c r="G12" s="132" t="s">
        <v>394</v>
      </c>
    </row>
    <row r="13" spans="2:256" ht="18" customHeight="1" thickBot="1">
      <c r="B13" s="370"/>
      <c r="C13" s="370"/>
      <c r="D13" s="370"/>
      <c r="E13" s="370"/>
      <c r="F13" s="370"/>
      <c r="G13" s="370"/>
    </row>
    <row r="14" spans="2:256" ht="26.25" customHeight="1">
      <c r="B14" s="133"/>
      <c r="D14" s="134"/>
      <c r="F14" s="134"/>
      <c r="H14" s="134"/>
      <c r="J14" s="134"/>
      <c r="L14" s="134"/>
      <c r="N14" s="134"/>
      <c r="P14" s="134"/>
      <c r="R14" s="134"/>
      <c r="T14" s="134"/>
      <c r="V14" s="134"/>
      <c r="X14" s="134"/>
      <c r="Z14" s="134"/>
      <c r="AB14" s="134"/>
      <c r="AD14" s="134"/>
      <c r="AF14" s="134"/>
      <c r="AH14" s="134"/>
      <c r="AJ14" s="134"/>
      <c r="AL14" s="134"/>
      <c r="AN14" s="134"/>
      <c r="AP14" s="134"/>
      <c r="AR14" s="134"/>
      <c r="AT14" s="134"/>
      <c r="AV14" s="134"/>
      <c r="AX14" s="134"/>
      <c r="AZ14" s="134"/>
      <c r="BB14" s="134"/>
      <c r="BD14" s="134"/>
      <c r="BF14" s="134"/>
      <c r="BH14" s="134"/>
      <c r="BJ14" s="134"/>
      <c r="BL14" s="134"/>
      <c r="BN14" s="134"/>
      <c r="BP14" s="134"/>
      <c r="BR14" s="134"/>
      <c r="BT14" s="134"/>
      <c r="BV14" s="134"/>
      <c r="BX14" s="134"/>
      <c r="BZ14" s="134"/>
      <c r="CB14" s="134"/>
      <c r="CD14" s="134"/>
      <c r="CF14" s="134"/>
      <c r="CH14" s="134"/>
      <c r="CJ14" s="134"/>
      <c r="CL14" s="134"/>
      <c r="CN14" s="134"/>
      <c r="CP14" s="134"/>
      <c r="CR14" s="134"/>
      <c r="CT14" s="134"/>
      <c r="CV14" s="134"/>
      <c r="CX14" s="134"/>
      <c r="CZ14" s="134"/>
      <c r="DB14" s="134"/>
      <c r="DD14" s="134"/>
      <c r="DF14" s="134"/>
      <c r="DH14" s="134"/>
      <c r="DJ14" s="134"/>
      <c r="DL14" s="134"/>
      <c r="DN14" s="134"/>
      <c r="DP14" s="134"/>
      <c r="DR14" s="134"/>
      <c r="DT14" s="134"/>
      <c r="DV14" s="134"/>
      <c r="DX14" s="134"/>
      <c r="DZ14" s="134"/>
      <c r="EB14" s="134"/>
      <c r="ED14" s="134"/>
      <c r="EF14" s="134"/>
      <c r="EH14" s="134"/>
      <c r="EJ14" s="134"/>
      <c r="EL14" s="134"/>
      <c r="EN14" s="134"/>
      <c r="EP14" s="134"/>
      <c r="ER14" s="134"/>
      <c r="ET14" s="134"/>
      <c r="EV14" s="134"/>
      <c r="EX14" s="134"/>
      <c r="EZ14" s="134"/>
      <c r="FB14" s="134"/>
      <c r="FD14" s="134"/>
      <c r="FF14" s="134"/>
      <c r="FH14" s="134"/>
      <c r="FJ14" s="134"/>
      <c r="FL14" s="134"/>
      <c r="FN14" s="134"/>
      <c r="FP14" s="134"/>
      <c r="FR14" s="134"/>
      <c r="FT14" s="134"/>
      <c r="FV14" s="134"/>
      <c r="FX14" s="134"/>
      <c r="FZ14" s="134"/>
      <c r="GB14" s="134"/>
      <c r="GD14" s="134"/>
      <c r="GF14" s="134"/>
      <c r="GH14" s="134"/>
      <c r="GJ14" s="134"/>
      <c r="GL14" s="134"/>
      <c r="GN14" s="134"/>
      <c r="GP14" s="134"/>
      <c r="GR14" s="134"/>
      <c r="GT14" s="134"/>
      <c r="GV14" s="134"/>
      <c r="GX14" s="134"/>
      <c r="GZ14" s="134"/>
      <c r="HB14" s="134"/>
      <c r="HD14" s="134"/>
      <c r="HF14" s="134"/>
      <c r="HH14" s="134"/>
      <c r="HJ14" s="134"/>
      <c r="HL14" s="134"/>
      <c r="HN14" s="134"/>
      <c r="HP14" s="134"/>
      <c r="HR14" s="134"/>
      <c r="HT14" s="134"/>
      <c r="HV14" s="134"/>
      <c r="HX14" s="134"/>
      <c r="HZ14" s="134"/>
      <c r="IB14" s="134"/>
      <c r="ID14" s="134"/>
      <c r="IF14" s="134"/>
      <c r="IH14" s="134"/>
      <c r="IJ14" s="134"/>
      <c r="IL14" s="134"/>
      <c r="IN14" s="134"/>
      <c r="IP14" s="134"/>
      <c r="IR14" s="134"/>
      <c r="IT14" s="134"/>
      <c r="IV14" s="134"/>
    </row>
    <row r="15" spans="2:256" ht="21.75" customHeight="1"/>
  </sheetData>
  <sheetProtection selectLockedCells="1" selectUnlockedCells="1"/>
  <mergeCells count="10">
    <mergeCell ref="D2:G2"/>
    <mergeCell ref="B9:G9"/>
    <mergeCell ref="B13:G13"/>
    <mergeCell ref="B2:B4"/>
    <mergeCell ref="C2:C4"/>
    <mergeCell ref="D3:E3"/>
    <mergeCell ref="F3:G3"/>
    <mergeCell ref="F4:G4"/>
    <mergeCell ref="B6:H6"/>
    <mergeCell ref="C7:G7"/>
  </mergeCells>
  <phoneticPr fontId="82" type="noConversion"/>
  <pageMargins left="0.75" right="0.75" top="1" bottom="1" header="0.51" footer="0.51"/>
  <pageSetup scale="66" fitToHeight="0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  <pageSetUpPr fitToPage="1"/>
  </sheetPr>
  <dimension ref="A2:S32"/>
  <sheetViews>
    <sheetView showGridLines="0" view="pageBreakPreview" zoomScaleNormal="100" zoomScaleSheetLayoutView="100" workbookViewId="0">
      <pane xSplit="1" ySplit="11" topLeftCell="B23" activePane="bottomRight" state="frozen"/>
      <selection pane="topRight"/>
      <selection pane="bottomLeft"/>
      <selection pane="bottomRight" activeCell="B12" sqref="B12"/>
    </sheetView>
  </sheetViews>
  <sheetFormatPr defaultRowHeight="12.75"/>
  <cols>
    <col min="1" max="1" width="1.7109375" style="74" customWidth="1"/>
    <col min="2" max="2" width="12.140625" style="74" customWidth="1"/>
    <col min="3" max="3" width="19.7109375" style="74" customWidth="1"/>
    <col min="4" max="4" width="12.5703125" style="74" customWidth="1"/>
    <col min="5" max="5" width="5.140625" style="74" customWidth="1"/>
    <col min="6" max="6" width="30.5703125" style="74" customWidth="1"/>
    <col min="7" max="7" width="7.5703125" style="74" customWidth="1"/>
    <col min="8" max="8" width="7.28515625" style="74" customWidth="1"/>
    <col min="9" max="9" width="13.42578125" style="74" customWidth="1"/>
    <col min="10" max="10" width="6.5703125" style="75" customWidth="1"/>
    <col min="11" max="11" width="12.85546875" style="74" customWidth="1"/>
    <col min="12" max="12" width="6.5703125" style="75" customWidth="1"/>
    <col min="13" max="13" width="12.85546875" style="74" customWidth="1"/>
    <col min="14" max="14" width="6.5703125" style="75" customWidth="1"/>
    <col min="15" max="15" width="12.42578125" style="74" customWidth="1"/>
    <col min="16" max="16" width="41.42578125" style="74" customWidth="1"/>
    <col min="17" max="17" width="4.28515625" style="74" customWidth="1"/>
    <col min="18" max="16384" width="9.140625" style="74"/>
  </cols>
  <sheetData>
    <row r="2" spans="1:19" ht="26.25" customHeight="1">
      <c r="B2" s="48"/>
      <c r="C2" s="393" t="s">
        <v>11</v>
      </c>
      <c r="D2" s="393"/>
      <c r="E2" s="393"/>
      <c r="F2" s="393"/>
      <c r="G2" s="393"/>
      <c r="H2" s="76"/>
      <c r="I2" s="76"/>
      <c r="J2" s="76"/>
      <c r="L2" s="76"/>
      <c r="N2" s="76"/>
    </row>
    <row r="3" spans="1:19" s="71" customFormat="1">
      <c r="B3" s="46"/>
      <c r="F3" s="77"/>
      <c r="G3" s="78"/>
      <c r="H3" s="78"/>
      <c r="I3" s="78"/>
      <c r="J3" s="103"/>
      <c r="K3" s="104"/>
      <c r="L3" s="103"/>
      <c r="M3" s="104"/>
      <c r="N3" s="103"/>
      <c r="O3" s="104"/>
    </row>
    <row r="4" spans="1:19" ht="14.25" customHeight="1">
      <c r="C4" s="79" t="s">
        <v>12</v>
      </c>
      <c r="D4" s="80"/>
      <c r="E4" s="81"/>
      <c r="F4" s="394" t="s">
        <v>13</v>
      </c>
      <c r="G4" s="394"/>
      <c r="H4" s="394"/>
      <c r="I4" s="75"/>
      <c r="J4" s="74"/>
      <c r="L4" s="74"/>
      <c r="N4" s="74"/>
    </row>
    <row r="5" spans="1:19" ht="13.5" customHeight="1">
      <c r="C5" s="82" t="s">
        <v>14</v>
      </c>
      <c r="D5" s="83" t="s">
        <v>15</v>
      </c>
      <c r="E5" s="78"/>
      <c r="F5" s="84" t="s">
        <v>16</v>
      </c>
      <c r="G5" s="85">
        <v>14</v>
      </c>
      <c r="H5" s="86"/>
      <c r="I5" s="75"/>
      <c r="J5" s="74"/>
      <c r="L5" s="74"/>
      <c r="N5" s="74"/>
    </row>
    <row r="6" spans="1:19" ht="13.5" customHeight="1">
      <c r="C6" s="87" t="s">
        <v>17</v>
      </c>
      <c r="D6" s="88" t="s">
        <v>10</v>
      </c>
      <c r="E6" s="89"/>
      <c r="F6" s="90" t="s">
        <v>18</v>
      </c>
      <c r="G6" s="91">
        <v>14</v>
      </c>
      <c r="H6" s="92">
        <f>G6/G5</f>
        <v>1</v>
      </c>
      <c r="I6" s="75"/>
      <c r="J6" s="74"/>
      <c r="L6" s="74"/>
      <c r="N6" s="74"/>
    </row>
    <row r="7" spans="1:19" ht="13.5" customHeight="1">
      <c r="C7" s="93" t="s">
        <v>19</v>
      </c>
      <c r="D7" s="94" t="s">
        <v>389</v>
      </c>
      <c r="E7" s="89"/>
      <c r="F7" s="90" t="s">
        <v>20</v>
      </c>
      <c r="G7" s="91">
        <v>13</v>
      </c>
      <c r="H7" s="92">
        <f>IF(G6&lt;&gt;0,G7/G6,"")</f>
        <v>0.9285714285714286</v>
      </c>
      <c r="I7" s="75"/>
      <c r="J7" s="74"/>
      <c r="L7" s="74"/>
      <c r="N7" s="74"/>
    </row>
    <row r="8" spans="1:19">
      <c r="C8" s="87" t="s">
        <v>6</v>
      </c>
      <c r="D8" s="95">
        <v>44944</v>
      </c>
      <c r="E8" s="96"/>
      <c r="F8" s="97" t="s">
        <v>21</v>
      </c>
      <c r="G8" s="98">
        <v>1</v>
      </c>
      <c r="H8" s="92">
        <f>IF(G6&lt;&gt;0,G8/G6,"")</f>
        <v>7.1428571428571425E-2</v>
      </c>
      <c r="I8" s="75"/>
      <c r="J8" s="74"/>
      <c r="L8" s="74"/>
      <c r="N8" s="74"/>
    </row>
    <row r="9" spans="1:19" ht="29.25" customHeight="1">
      <c r="B9" s="99"/>
      <c r="C9" s="99"/>
      <c r="D9" s="99"/>
      <c r="E9" s="99"/>
      <c r="F9" s="99"/>
      <c r="G9" s="99"/>
      <c r="H9" s="99"/>
      <c r="I9" s="99"/>
      <c r="J9" s="105"/>
      <c r="K9" s="106"/>
      <c r="L9" s="105"/>
      <c r="M9" s="106"/>
      <c r="N9" s="105"/>
      <c r="O9" s="106"/>
    </row>
    <row r="10" spans="1:19" s="72" customFormat="1" ht="12.75" customHeight="1">
      <c r="B10" s="392" t="s">
        <v>22</v>
      </c>
      <c r="C10" s="390" t="s">
        <v>23</v>
      </c>
      <c r="D10" s="390"/>
      <c r="E10" s="390"/>
      <c r="F10" s="390"/>
      <c r="G10" s="388" t="s">
        <v>24</v>
      </c>
      <c r="H10" s="388" t="s">
        <v>25</v>
      </c>
      <c r="I10" s="388" t="s">
        <v>26</v>
      </c>
      <c r="J10" s="384" t="s">
        <v>27</v>
      </c>
      <c r="K10" s="384"/>
      <c r="L10" s="384" t="s">
        <v>27</v>
      </c>
      <c r="M10" s="384"/>
      <c r="N10" s="384" t="s">
        <v>27</v>
      </c>
      <c r="O10" s="384"/>
      <c r="P10" s="389" t="s">
        <v>28</v>
      </c>
      <c r="Q10" s="112"/>
    </row>
    <row r="11" spans="1:19" s="72" customFormat="1">
      <c r="B11" s="392"/>
      <c r="C11" s="390"/>
      <c r="D11" s="390"/>
      <c r="E11" s="390"/>
      <c r="F11" s="390"/>
      <c r="G11" s="388"/>
      <c r="H11" s="388"/>
      <c r="I11" s="388"/>
      <c r="J11" s="107" t="s">
        <v>29</v>
      </c>
      <c r="K11" s="108" t="s">
        <v>6</v>
      </c>
      <c r="L11" s="107" t="s">
        <v>29</v>
      </c>
      <c r="M11" s="108" t="s">
        <v>6</v>
      </c>
      <c r="N11" s="107" t="s">
        <v>29</v>
      </c>
      <c r="O11" s="108" t="s">
        <v>6</v>
      </c>
      <c r="P11" s="389"/>
      <c r="Q11" s="113"/>
    </row>
    <row r="12" spans="1:19" s="73" customFormat="1" ht="12.75" customHeight="1">
      <c r="B12" s="100"/>
      <c r="C12" s="391" t="s">
        <v>30</v>
      </c>
      <c r="D12" s="391"/>
      <c r="E12" s="391"/>
      <c r="F12" s="391"/>
      <c r="G12" s="391"/>
      <c r="H12" s="391"/>
      <c r="I12" s="109"/>
      <c r="J12" s="109"/>
      <c r="K12" s="109"/>
      <c r="L12" s="109"/>
      <c r="M12" s="109"/>
      <c r="N12" s="109"/>
      <c r="O12" s="109"/>
      <c r="P12" s="110"/>
      <c r="Q12" s="114"/>
    </row>
    <row r="13" spans="1:19" s="73" customFormat="1" ht="39.75" customHeight="1">
      <c r="A13" s="345"/>
      <c r="B13" s="135" t="s">
        <v>55</v>
      </c>
      <c r="C13" s="395" t="s">
        <v>341</v>
      </c>
      <c r="D13" s="396"/>
      <c r="E13" s="396"/>
      <c r="F13" s="397"/>
      <c r="G13" s="101" t="s">
        <v>57</v>
      </c>
      <c r="H13" s="141" t="s">
        <v>390</v>
      </c>
      <c r="I13" s="332" t="s">
        <v>389</v>
      </c>
      <c r="J13" s="141" t="s">
        <v>390</v>
      </c>
      <c r="K13" s="334">
        <v>44944</v>
      </c>
      <c r="L13" s="141"/>
      <c r="M13" s="142"/>
      <c r="N13" s="143"/>
      <c r="O13" s="335"/>
      <c r="P13" s="338"/>
      <c r="Q13" s="342"/>
      <c r="R13" s="345"/>
      <c r="S13" s="345"/>
    </row>
    <row r="14" spans="1:19" s="273" customFormat="1" ht="39.75" customHeight="1">
      <c r="A14" s="345"/>
      <c r="B14" s="348" t="s">
        <v>201</v>
      </c>
      <c r="C14" s="385" t="s">
        <v>207</v>
      </c>
      <c r="D14" s="386"/>
      <c r="E14" s="386"/>
      <c r="F14" s="387"/>
      <c r="G14" s="101" t="s">
        <v>57</v>
      </c>
      <c r="H14" s="141" t="s">
        <v>390</v>
      </c>
      <c r="I14" s="332" t="s">
        <v>389</v>
      </c>
      <c r="J14" s="141" t="s">
        <v>390</v>
      </c>
      <c r="K14" s="334">
        <v>44944</v>
      </c>
      <c r="L14" s="141"/>
      <c r="M14" s="335"/>
      <c r="N14" s="143"/>
      <c r="O14" s="335"/>
      <c r="P14" s="338"/>
      <c r="Q14" s="342"/>
      <c r="R14" s="345"/>
      <c r="S14" s="345"/>
    </row>
    <row r="15" spans="1:19" s="277" customFormat="1" ht="39.75" customHeight="1">
      <c r="A15" s="346"/>
      <c r="B15" s="349" t="s">
        <v>202</v>
      </c>
      <c r="C15" s="398" t="s">
        <v>56</v>
      </c>
      <c r="D15" s="399"/>
      <c r="E15" s="399"/>
      <c r="F15" s="399"/>
      <c r="G15" s="101" t="s">
        <v>57</v>
      </c>
      <c r="H15" s="141" t="s">
        <v>390</v>
      </c>
      <c r="I15" s="332" t="s">
        <v>389</v>
      </c>
      <c r="J15" s="141" t="s">
        <v>390</v>
      </c>
      <c r="K15" s="334">
        <v>44944</v>
      </c>
      <c r="L15" s="141"/>
      <c r="M15" s="337"/>
      <c r="N15" s="143"/>
      <c r="O15" s="337"/>
      <c r="P15" s="339"/>
      <c r="Q15" s="344"/>
      <c r="R15" s="346"/>
      <c r="S15" s="346"/>
    </row>
    <row r="16" spans="1:19" s="273" customFormat="1" ht="39.75" customHeight="1">
      <c r="A16" s="345"/>
      <c r="B16" s="348" t="s">
        <v>58</v>
      </c>
      <c r="C16" s="385" t="s">
        <v>59</v>
      </c>
      <c r="D16" s="386"/>
      <c r="E16" s="386"/>
      <c r="F16" s="387"/>
      <c r="G16" s="101" t="s">
        <v>57</v>
      </c>
      <c r="H16" s="141" t="s">
        <v>390</v>
      </c>
      <c r="I16" s="332" t="s">
        <v>389</v>
      </c>
      <c r="J16" s="141" t="s">
        <v>390</v>
      </c>
      <c r="K16" s="334">
        <v>44944</v>
      </c>
      <c r="L16" s="141"/>
      <c r="M16" s="335"/>
      <c r="N16" s="143"/>
      <c r="O16" s="335"/>
      <c r="P16" s="338"/>
      <c r="Q16" s="342"/>
      <c r="R16" s="345"/>
      <c r="S16" s="345"/>
    </row>
    <row r="17" spans="1:19" s="273" customFormat="1" ht="39.75" customHeight="1">
      <c r="A17" s="345"/>
      <c r="B17" s="348" t="s">
        <v>60</v>
      </c>
      <c r="C17" s="385" t="s">
        <v>61</v>
      </c>
      <c r="D17" s="386"/>
      <c r="E17" s="386"/>
      <c r="F17" s="387"/>
      <c r="G17" s="101" t="s">
        <v>57</v>
      </c>
      <c r="H17" s="141" t="s">
        <v>390</v>
      </c>
      <c r="I17" s="332" t="s">
        <v>389</v>
      </c>
      <c r="J17" s="141" t="s">
        <v>390</v>
      </c>
      <c r="K17" s="334">
        <v>44944</v>
      </c>
      <c r="L17" s="141"/>
      <c r="M17" s="335"/>
      <c r="N17" s="143"/>
      <c r="O17" s="335"/>
      <c r="P17" s="338"/>
      <c r="Q17" s="342"/>
      <c r="R17" s="345"/>
      <c r="S17" s="345"/>
    </row>
    <row r="18" spans="1:19" s="273" customFormat="1" ht="39.75" customHeight="1">
      <c r="A18" s="345"/>
      <c r="B18" s="348" t="s">
        <v>62</v>
      </c>
      <c r="C18" s="385" t="s">
        <v>63</v>
      </c>
      <c r="D18" s="386"/>
      <c r="E18" s="386"/>
      <c r="F18" s="387"/>
      <c r="G18" s="101" t="s">
        <v>57</v>
      </c>
      <c r="H18" s="141" t="s">
        <v>390</v>
      </c>
      <c r="I18" s="332" t="s">
        <v>389</v>
      </c>
      <c r="J18" s="141" t="s">
        <v>390</v>
      </c>
      <c r="K18" s="334">
        <v>44944</v>
      </c>
      <c r="L18" s="141"/>
      <c r="M18" s="335"/>
      <c r="N18" s="143"/>
      <c r="O18" s="335"/>
      <c r="P18" s="338"/>
      <c r="Q18" s="342"/>
      <c r="R18" s="345"/>
      <c r="S18" s="345"/>
    </row>
    <row r="19" spans="1:19" s="273" customFormat="1" ht="39.75" customHeight="1">
      <c r="A19" s="345"/>
      <c r="B19" s="348" t="s">
        <v>64</v>
      </c>
      <c r="C19" s="385" t="s">
        <v>65</v>
      </c>
      <c r="D19" s="386"/>
      <c r="E19" s="386"/>
      <c r="F19" s="387"/>
      <c r="G19" s="101" t="s">
        <v>57</v>
      </c>
      <c r="H19" s="141" t="s">
        <v>390</v>
      </c>
      <c r="I19" s="332" t="s">
        <v>389</v>
      </c>
      <c r="J19" s="141" t="s">
        <v>390</v>
      </c>
      <c r="K19" s="334">
        <v>44944</v>
      </c>
      <c r="L19" s="141"/>
      <c r="M19" s="335"/>
      <c r="N19" s="143"/>
      <c r="O19" s="335"/>
      <c r="P19" s="338"/>
      <c r="Q19" s="342"/>
      <c r="R19" s="345"/>
      <c r="S19" s="345"/>
    </row>
    <row r="20" spans="1:19" s="273" customFormat="1" ht="39.75" customHeight="1">
      <c r="A20" s="345"/>
      <c r="B20" s="350" t="s">
        <v>181</v>
      </c>
      <c r="C20" s="385" t="s">
        <v>66</v>
      </c>
      <c r="D20" s="386"/>
      <c r="E20" s="386"/>
      <c r="F20" s="387"/>
      <c r="G20" s="101" t="s">
        <v>57</v>
      </c>
      <c r="H20" s="141" t="s">
        <v>390</v>
      </c>
      <c r="I20" s="332" t="s">
        <v>389</v>
      </c>
      <c r="J20" s="141" t="s">
        <v>390</v>
      </c>
      <c r="K20" s="334">
        <v>44944</v>
      </c>
      <c r="L20" s="141"/>
      <c r="M20" s="335"/>
      <c r="N20" s="143"/>
      <c r="O20" s="335"/>
      <c r="P20" s="340"/>
      <c r="Q20" s="342"/>
      <c r="R20" s="345"/>
      <c r="S20" s="345"/>
    </row>
    <row r="21" spans="1:19" s="273" customFormat="1" ht="39.75" customHeight="1">
      <c r="A21" s="345"/>
      <c r="B21" s="350" t="s">
        <v>67</v>
      </c>
      <c r="C21" s="385" t="s">
        <v>68</v>
      </c>
      <c r="D21" s="386"/>
      <c r="E21" s="386"/>
      <c r="F21" s="387"/>
      <c r="G21" s="101" t="s">
        <v>57</v>
      </c>
      <c r="H21" s="141" t="s">
        <v>390</v>
      </c>
      <c r="I21" s="332" t="s">
        <v>389</v>
      </c>
      <c r="J21" s="141" t="s">
        <v>390</v>
      </c>
      <c r="K21" s="334">
        <v>44944</v>
      </c>
      <c r="L21" s="141"/>
      <c r="M21" s="335"/>
      <c r="N21" s="143"/>
      <c r="O21" s="335"/>
      <c r="P21" s="340"/>
      <c r="Q21" s="342"/>
      <c r="R21" s="345"/>
      <c r="S21" s="345"/>
    </row>
    <row r="22" spans="1:19" s="273" customFormat="1" ht="39.75" customHeight="1">
      <c r="A22" s="345"/>
      <c r="B22" s="350" t="s">
        <v>182</v>
      </c>
      <c r="C22" s="385" t="s">
        <v>70</v>
      </c>
      <c r="D22" s="386"/>
      <c r="E22" s="386"/>
      <c r="F22" s="387"/>
      <c r="G22" s="101" t="s">
        <v>57</v>
      </c>
      <c r="H22" s="141" t="s">
        <v>390</v>
      </c>
      <c r="I22" s="332" t="s">
        <v>389</v>
      </c>
      <c r="J22" s="141" t="s">
        <v>390</v>
      </c>
      <c r="K22" s="334">
        <v>44944</v>
      </c>
      <c r="L22" s="141"/>
      <c r="M22" s="335"/>
      <c r="N22" s="143"/>
      <c r="O22" s="335"/>
      <c r="P22" s="340"/>
      <c r="Q22" s="342"/>
      <c r="R22" s="345"/>
      <c r="S22" s="345"/>
    </row>
    <row r="23" spans="1:19" s="273" customFormat="1" ht="39.75" customHeight="1">
      <c r="A23" s="345"/>
      <c r="B23" s="350" t="s">
        <v>69</v>
      </c>
      <c r="C23" s="385" t="s">
        <v>71</v>
      </c>
      <c r="D23" s="386"/>
      <c r="E23" s="386"/>
      <c r="F23" s="387"/>
      <c r="G23" s="101" t="s">
        <v>57</v>
      </c>
      <c r="H23" s="141" t="s">
        <v>390</v>
      </c>
      <c r="I23" s="332" t="s">
        <v>389</v>
      </c>
      <c r="J23" s="141" t="s">
        <v>390</v>
      </c>
      <c r="K23" s="334">
        <v>44944</v>
      </c>
      <c r="L23" s="141"/>
      <c r="M23" s="335"/>
      <c r="N23" s="143"/>
      <c r="O23" s="335"/>
      <c r="P23" s="340"/>
      <c r="Q23" s="342"/>
      <c r="R23" s="345"/>
      <c r="S23" s="345"/>
    </row>
    <row r="24" spans="1:19" s="273" customFormat="1" ht="39" customHeight="1">
      <c r="A24" s="345"/>
      <c r="B24" s="350" t="s">
        <v>73</v>
      </c>
      <c r="C24" s="385" t="s">
        <v>220</v>
      </c>
      <c r="D24" s="386"/>
      <c r="E24" s="386"/>
      <c r="F24" s="387"/>
      <c r="G24" s="101" t="s">
        <v>57</v>
      </c>
      <c r="H24" s="141" t="s">
        <v>390</v>
      </c>
      <c r="I24" s="332" t="s">
        <v>389</v>
      </c>
      <c r="J24" s="141" t="s">
        <v>390</v>
      </c>
      <c r="K24" s="334">
        <v>44944</v>
      </c>
      <c r="L24" s="141"/>
      <c r="M24" s="335"/>
      <c r="N24" s="143"/>
      <c r="O24" s="335"/>
      <c r="P24" s="340"/>
      <c r="Q24" s="342"/>
      <c r="R24" s="345"/>
      <c r="S24" s="345"/>
    </row>
    <row r="25" spans="1:19" s="273" customFormat="1" ht="39" customHeight="1">
      <c r="A25" s="345"/>
      <c r="B25" s="350" t="s">
        <v>72</v>
      </c>
      <c r="C25" s="385" t="s">
        <v>221</v>
      </c>
      <c r="D25" s="386"/>
      <c r="E25" s="386"/>
      <c r="F25" s="387"/>
      <c r="G25" s="101" t="s">
        <v>57</v>
      </c>
      <c r="H25" s="141" t="s">
        <v>390</v>
      </c>
      <c r="I25" s="332" t="s">
        <v>389</v>
      </c>
      <c r="J25" s="141" t="s">
        <v>390</v>
      </c>
      <c r="K25" s="334">
        <v>44944</v>
      </c>
      <c r="L25" s="141"/>
      <c r="M25" s="335"/>
      <c r="N25" s="143"/>
      <c r="O25" s="335"/>
      <c r="P25" s="340"/>
      <c r="Q25" s="342"/>
      <c r="R25" s="345"/>
      <c r="S25" s="345"/>
    </row>
    <row r="26" spans="1:19" s="273" customFormat="1" ht="39" customHeight="1">
      <c r="A26" s="345"/>
      <c r="B26" s="350" t="s">
        <v>204</v>
      </c>
      <c r="C26" s="385" t="s">
        <v>205</v>
      </c>
      <c r="D26" s="386"/>
      <c r="E26" s="386"/>
      <c r="F26" s="387"/>
      <c r="G26" s="101" t="s">
        <v>57</v>
      </c>
      <c r="H26" s="141" t="s">
        <v>391</v>
      </c>
      <c r="I26" s="332" t="s">
        <v>389</v>
      </c>
      <c r="J26" s="141" t="s">
        <v>390</v>
      </c>
      <c r="K26" s="334">
        <v>44944</v>
      </c>
      <c r="L26" s="141"/>
      <c r="M26" s="335"/>
      <c r="N26" s="143"/>
      <c r="O26" s="335"/>
      <c r="P26" s="340" t="s">
        <v>392</v>
      </c>
      <c r="Q26" s="342"/>
      <c r="R26" s="345"/>
      <c r="S26" s="345"/>
    </row>
    <row r="27" spans="1:19" s="221" customFormat="1" ht="38.25" customHeight="1">
      <c r="A27" s="347"/>
      <c r="B27" s="220" t="s">
        <v>74</v>
      </c>
      <c r="C27" s="400" t="s">
        <v>203</v>
      </c>
      <c r="D27" s="401"/>
      <c r="E27" s="401"/>
      <c r="F27" s="402"/>
      <c r="G27" s="101"/>
      <c r="H27" s="141"/>
      <c r="I27" s="333"/>
      <c r="J27" s="141"/>
      <c r="K27" s="336"/>
      <c r="L27" s="141"/>
      <c r="M27" s="336"/>
      <c r="N27" s="143"/>
      <c r="O27" s="336"/>
      <c r="P27" s="341"/>
      <c r="Q27" s="343"/>
      <c r="R27" s="347"/>
      <c r="S27" s="347"/>
    </row>
    <row r="28" spans="1:19" s="221" customFormat="1" ht="38.25" customHeight="1">
      <c r="A28" s="347"/>
      <c r="B28" s="220" t="s">
        <v>75</v>
      </c>
      <c r="C28" s="400" t="s">
        <v>76</v>
      </c>
      <c r="D28" s="401"/>
      <c r="E28" s="401"/>
      <c r="F28" s="402"/>
      <c r="G28" s="101"/>
      <c r="H28" s="141"/>
      <c r="I28" s="333"/>
      <c r="J28" s="141"/>
      <c r="K28" s="336"/>
      <c r="L28" s="141"/>
      <c r="M28" s="336"/>
      <c r="N28" s="143"/>
      <c r="O28" s="336"/>
      <c r="P28" s="341"/>
      <c r="Q28" s="343"/>
      <c r="R28" s="347"/>
      <c r="S28" s="347"/>
    </row>
    <row r="29" spans="1:19" s="221" customFormat="1" ht="38.25" customHeight="1">
      <c r="A29" s="347"/>
      <c r="B29" s="220" t="s">
        <v>183</v>
      </c>
      <c r="C29" s="400" t="s">
        <v>77</v>
      </c>
      <c r="D29" s="401"/>
      <c r="E29" s="401"/>
      <c r="F29" s="402"/>
      <c r="G29" s="101"/>
      <c r="H29" s="141"/>
      <c r="I29" s="333"/>
      <c r="J29" s="141"/>
      <c r="K29" s="336"/>
      <c r="L29" s="141"/>
      <c r="M29" s="336"/>
      <c r="N29" s="143"/>
      <c r="O29" s="336"/>
      <c r="P29" s="341"/>
      <c r="Q29" s="343"/>
      <c r="R29" s="347"/>
      <c r="S29" s="347"/>
    </row>
    <row r="30" spans="1:19" s="221" customFormat="1" ht="38.25" customHeight="1">
      <c r="A30" s="347"/>
      <c r="B30" s="220" t="s">
        <v>184</v>
      </c>
      <c r="C30" s="400" t="s">
        <v>78</v>
      </c>
      <c r="D30" s="401"/>
      <c r="E30" s="401"/>
      <c r="F30" s="402"/>
      <c r="G30" s="101"/>
      <c r="H30" s="141"/>
      <c r="I30" s="333"/>
      <c r="J30" s="141"/>
      <c r="K30" s="336"/>
      <c r="L30" s="141"/>
      <c r="M30" s="336"/>
      <c r="N30" s="143"/>
      <c r="O30" s="336"/>
      <c r="P30" s="341"/>
      <c r="Q30" s="343"/>
      <c r="R30" s="347"/>
      <c r="S30" s="347"/>
    </row>
    <row r="31" spans="1:19" s="73" customFormat="1" ht="36.75" customHeight="1" thickBot="1">
      <c r="B31" s="102"/>
      <c r="C31" s="381"/>
      <c r="D31" s="382"/>
      <c r="E31" s="382"/>
      <c r="F31" s="383"/>
      <c r="G31" s="327"/>
      <c r="H31" s="328"/>
      <c r="I31" s="329"/>
      <c r="J31" s="328"/>
      <c r="K31" s="330"/>
      <c r="L31" s="328"/>
      <c r="M31" s="330"/>
      <c r="N31" s="328"/>
      <c r="O31" s="330"/>
      <c r="P31" s="331"/>
      <c r="Q31" s="115"/>
    </row>
    <row r="32" spans="1:19">
      <c r="J32" s="111"/>
      <c r="L32" s="111"/>
      <c r="N32" s="111"/>
    </row>
  </sheetData>
  <sheetProtection selectLockedCells="1" selectUnlockedCells="1"/>
  <mergeCells count="31">
    <mergeCell ref="C24:F24"/>
    <mergeCell ref="C29:F29"/>
    <mergeCell ref="C30:F30"/>
    <mergeCell ref="C27:F27"/>
    <mergeCell ref="C28:F28"/>
    <mergeCell ref="C26:F26"/>
    <mergeCell ref="C25:F25"/>
    <mergeCell ref="C2:G2"/>
    <mergeCell ref="F4:H4"/>
    <mergeCell ref="H10:H11"/>
    <mergeCell ref="C13:F13"/>
    <mergeCell ref="C20:F20"/>
    <mergeCell ref="C21:F21"/>
    <mergeCell ref="C14:F14"/>
    <mergeCell ref="C15:F15"/>
    <mergeCell ref="P10:P11"/>
    <mergeCell ref="C10:F11"/>
    <mergeCell ref="C12:H12"/>
    <mergeCell ref="I10:I11"/>
    <mergeCell ref="J10:K10"/>
    <mergeCell ref="B10:B11"/>
    <mergeCell ref="C31:F31"/>
    <mergeCell ref="L10:M10"/>
    <mergeCell ref="C19:F19"/>
    <mergeCell ref="N10:O10"/>
    <mergeCell ref="C18:F18"/>
    <mergeCell ref="G10:G11"/>
    <mergeCell ref="C17:F17"/>
    <mergeCell ref="C16:F16"/>
    <mergeCell ref="C22:F22"/>
    <mergeCell ref="C23:F23"/>
  </mergeCells>
  <phoneticPr fontId="82" type="noConversion"/>
  <conditionalFormatting sqref="H13:H31">
    <cfRule type="cellIs" dxfId="10" priority="121" stopIfTrue="1" operator="equal">
      <formula>"P"</formula>
    </cfRule>
    <cfRule type="cellIs" dxfId="9" priority="122" stopIfTrue="1" operator="equal">
      <formula>"I"</formula>
    </cfRule>
    <cfRule type="cellIs" dxfId="8" priority="123" stopIfTrue="1" operator="equal">
      <formula>"F"</formula>
    </cfRule>
  </conditionalFormatting>
  <conditionalFormatting sqref="G7:G9 J3 J9:J11 N9:N11 K10:M10 O10 L3 L9 L11 N3 L32:L65536 J32:J65536 N32:N65536">
    <cfRule type="cellIs" dxfId="7" priority="136" stopIfTrue="1" operator="equal">
      <formula>"P"</formula>
    </cfRule>
    <cfRule type="cellIs" dxfId="6" priority="137" stopIfTrue="1" operator="equal">
      <formula>"I"</formula>
    </cfRule>
    <cfRule type="cellIs" dxfId="5" priority="138" stopIfTrue="1" operator="equal">
      <formula>"F"</formula>
    </cfRule>
  </conditionalFormatting>
  <conditionalFormatting sqref="H3 H5:H10 H32:H65536">
    <cfRule type="cellIs" dxfId="4" priority="139" stopIfTrue="1" operator="equal">
      <formula>"P"</formula>
    </cfRule>
    <cfRule type="cellIs" dxfId="3" priority="140" stopIfTrue="1" operator="equal">
      <formula>"F"</formula>
    </cfRule>
  </conditionalFormatting>
  <conditionalFormatting sqref="L13:L31 N13:N31 J13:J31">
    <cfRule type="cellIs" dxfId="2" priority="124" stopIfTrue="1" operator="equal">
      <formula>"P"</formula>
    </cfRule>
    <cfRule type="cellIs" dxfId="1" priority="125" stopIfTrue="1" operator="equal">
      <formula>"I"</formula>
    </cfRule>
    <cfRule type="cellIs" dxfId="0" priority="126" stopIfTrue="1" operator="equal">
      <formula>"F"</formula>
    </cfRule>
  </conditionalFormatting>
  <dataValidations count="4">
    <dataValidation type="list" allowBlank="1" showErrorMessage="1" sqref="H31">
      <formula1>"P,F"</formula1>
      <formula2>0</formula2>
    </dataValidation>
    <dataValidation type="list" allowBlank="1" showErrorMessage="1" sqref="H13:H30">
      <formula1>"F,P"</formula1>
      <formula2>0</formula2>
    </dataValidation>
    <dataValidation type="list" allowBlank="1" showErrorMessage="1" sqref="G13:G31">
      <formula1>"L,M,H"</formula1>
      <formula2>0</formula2>
    </dataValidation>
    <dataValidation type="list" allowBlank="1" showErrorMessage="1" sqref="L13:L31 N13:N31 J13:J31">
      <formula1>"I,F,P"</formula1>
      <formula2>0</formula2>
    </dataValidation>
  </dataValidations>
  <hyperlinks>
    <hyperlink ref="C12:H12" location="'Test cases'!A1" display="Test Cases"/>
  </hyperlinks>
  <pageMargins left="0.75" right="0.75" top="1" bottom="1" header="0.51" footer="0.51"/>
  <pageSetup scale="42" fitToHeight="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9" r:id="rId4" name="btnUpdate">
          <controlPr defaultSize="0" altText="" r:id="rId5">
            <anchor moveWithCells="1" sizeWithCells="1">
              <from>
                <xdr:col>2</xdr:col>
                <xdr:colOff>1219200</xdr:colOff>
                <xdr:row>8</xdr:row>
                <xdr:rowOff>180975</xdr:rowOff>
              </from>
              <to>
                <xdr:col>3</xdr:col>
                <xdr:colOff>323850</xdr:colOff>
                <xdr:row>8</xdr:row>
                <xdr:rowOff>800100</xdr:rowOff>
              </to>
            </anchor>
          </controlPr>
        </control>
      </mc:Choice>
      <mc:Fallback>
        <control shapeId="2059" r:id="rId4" name="btnUpdate"/>
      </mc:Fallback>
    </mc:AlternateContent>
    <mc:AlternateContent xmlns:mc="http://schemas.openxmlformats.org/markup-compatibility/2006">
      <mc:Choice Requires="x14">
        <control shapeId="2058" r:id="rId6" name="cbbSelect">
          <controlPr defaultSize="0" altText="" r:id="rId7">
            <anchor moveWithCells="1" sizeWithCells="1">
              <from>
                <xdr:col>1</xdr:col>
                <xdr:colOff>114300</xdr:colOff>
                <xdr:row>8</xdr:row>
                <xdr:rowOff>276225</xdr:rowOff>
              </from>
              <to>
                <xdr:col>2</xdr:col>
                <xdr:colOff>1085850</xdr:colOff>
                <xdr:row>8</xdr:row>
                <xdr:rowOff>800100</xdr:rowOff>
              </to>
            </anchor>
          </controlPr>
        </control>
      </mc:Choice>
      <mc:Fallback>
        <control shapeId="2058" r:id="rId6" name="cbbSele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6"/>
  <sheetViews>
    <sheetView showGridLines="0" view="pageBreakPreview" topLeftCell="B1" zoomScaleNormal="100" workbookViewId="0">
      <pane xSplit="1" ySplit="6" topLeftCell="C7" activePane="bottomRight" state="frozen"/>
      <selection pane="topRight" activeCell="B1" sqref="B1"/>
      <selection pane="bottomLeft" activeCell="B1" sqref="B1"/>
      <selection pane="bottomRight" activeCell="B7" sqref="B7"/>
    </sheetView>
  </sheetViews>
  <sheetFormatPr defaultRowHeight="12.75"/>
  <cols>
    <col min="1" max="1" width="9.140625" hidden="1" customWidth="1"/>
    <col min="2" max="2" width="1.42578125" customWidth="1"/>
    <col min="3" max="3" width="12.140625" style="40" customWidth="1"/>
    <col min="4" max="4" width="3.5703125" customWidth="1"/>
    <col min="5" max="5" width="65" customWidth="1"/>
    <col min="6" max="6" width="49.42578125" style="37" customWidth="1"/>
    <col min="7" max="7" width="41.5703125" style="41" customWidth="1"/>
  </cols>
  <sheetData>
    <row r="1" spans="1:6" ht="6" customHeight="1"/>
    <row r="2" spans="1:6" ht="24.75" customHeight="1">
      <c r="D2" s="42"/>
      <c r="E2" s="43" t="s">
        <v>31</v>
      </c>
      <c r="F2" s="42"/>
    </row>
    <row r="3" spans="1:6" ht="15" customHeight="1">
      <c r="E3" s="45" t="s">
        <v>32</v>
      </c>
      <c r="F3" s="46"/>
    </row>
    <row r="4" spans="1:6" ht="15" customHeight="1">
      <c r="D4" s="47"/>
      <c r="E4" s="48"/>
      <c r="F4" s="49" t="s">
        <v>33</v>
      </c>
    </row>
    <row r="5" spans="1:6" ht="6.75" customHeight="1">
      <c r="C5" s="50"/>
      <c r="D5" s="51"/>
      <c r="E5" s="52"/>
      <c r="F5" s="53"/>
    </row>
    <row r="6" spans="1:6" s="37" customFormat="1" ht="17.25" customHeight="1">
      <c r="B6" s="53"/>
      <c r="C6" s="54" t="s">
        <v>22</v>
      </c>
      <c r="D6" s="403" t="s">
        <v>34</v>
      </c>
      <c r="E6" s="403"/>
      <c r="F6" s="55" t="s">
        <v>35</v>
      </c>
    </row>
    <row r="7" spans="1:6" s="38" customFormat="1" ht="17.25" customHeight="1">
      <c r="B7" s="56"/>
      <c r="C7" s="57"/>
      <c r="D7" s="404"/>
      <c r="E7" s="404"/>
      <c r="F7" s="404"/>
    </row>
    <row r="8" spans="1:6" s="38" customFormat="1" ht="12.75" customHeight="1">
      <c r="B8" s="58"/>
      <c r="C8" s="406"/>
      <c r="D8" s="65" t="s">
        <v>36</v>
      </c>
      <c r="E8" s="405"/>
      <c r="F8" s="405"/>
    </row>
    <row r="9" spans="1:6" s="38" customFormat="1">
      <c r="B9" s="58"/>
      <c r="C9" s="406"/>
      <c r="D9" s="65">
        <v>1</v>
      </c>
      <c r="E9" s="67"/>
      <c r="F9" s="66"/>
    </row>
    <row r="10" spans="1:6" s="39" customFormat="1">
      <c r="B10" s="62"/>
      <c r="C10" s="406"/>
      <c r="D10" s="68">
        <v>2</v>
      </c>
      <c r="E10" s="69"/>
      <c r="F10" s="70"/>
    </row>
    <row r="11" spans="1:6" s="39" customFormat="1">
      <c r="B11" s="62"/>
      <c r="C11" s="406"/>
      <c r="D11" s="68">
        <v>3</v>
      </c>
      <c r="E11" s="69"/>
      <c r="F11" s="70"/>
    </row>
    <row r="12" spans="1:6" s="39" customFormat="1">
      <c r="B12" s="62"/>
      <c r="C12" s="406"/>
      <c r="D12" s="68">
        <v>4</v>
      </c>
      <c r="E12" s="69"/>
      <c r="F12" s="70"/>
    </row>
    <row r="13" spans="1:6" s="39" customFormat="1">
      <c r="B13" s="62"/>
      <c r="C13" s="406"/>
      <c r="D13" s="68">
        <v>5</v>
      </c>
      <c r="E13" s="69"/>
      <c r="F13" s="70"/>
    </row>
    <row r="14" spans="1:6" s="39" customFormat="1">
      <c r="B14" s="62"/>
      <c r="C14" s="406"/>
      <c r="D14" s="68">
        <v>6</v>
      </c>
      <c r="E14" s="69"/>
      <c r="F14" s="70"/>
    </row>
    <row r="15" spans="1:6" s="39" customFormat="1">
      <c r="B15" s="62"/>
      <c r="C15" s="406"/>
      <c r="D15" s="68">
        <v>7</v>
      </c>
      <c r="E15" s="69"/>
      <c r="F15" s="70"/>
    </row>
    <row r="16" spans="1:6" s="39" customFormat="1" ht="13.5" customHeight="1">
      <c r="B16" s="62"/>
      <c r="C16" s="406"/>
      <c r="D16" s="68">
        <v>8</v>
      </c>
      <c r="E16" s="69"/>
      <c r="F16" s="70"/>
    </row>
  </sheetData>
  <sheetProtection selectLockedCells="1" selectUnlockedCells="1"/>
  <mergeCells count="4">
    <mergeCell ref="D6:E6"/>
    <mergeCell ref="D7:F7"/>
    <mergeCell ref="E8:F8"/>
    <mergeCell ref="C8:C16"/>
  </mergeCells>
  <hyperlinks>
    <hyperlink ref="F4" location="Summary!A1" display="Return to Summary Sheet"/>
  </hyperlinks>
  <pageMargins left="0.5" right="0.5" top="0.5" bottom="0.5" header="0.51" footer="0.51"/>
  <pageSetup paperSize="9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81" r:id="rId4" name="btnCollapse">
          <controlPr defaultSize="0" altText="" r:id="rId5">
            <anchor moveWithCells="1" sizeWithCells="1">
              <from>
                <xdr:col>4</xdr:col>
                <xdr:colOff>4086225</xdr:colOff>
                <xdr:row>2</xdr:row>
                <xdr:rowOff>400050</xdr:rowOff>
              </from>
              <to>
                <xdr:col>4</xdr:col>
                <xdr:colOff>5972175</xdr:colOff>
                <xdr:row>4</xdr:row>
                <xdr:rowOff>142875</xdr:rowOff>
              </to>
            </anchor>
          </controlPr>
        </control>
      </mc:Choice>
      <mc:Fallback>
        <control shapeId="3081" r:id="rId4" name="btnCollapse"/>
      </mc:Fallback>
    </mc:AlternateContent>
    <mc:AlternateContent xmlns:mc="http://schemas.openxmlformats.org/markup-compatibility/2006">
      <mc:Choice Requires="x14">
        <control shapeId="3080" r:id="rId6" name="btnExpand">
          <controlPr defaultSize="0" altText="" r:id="rId7">
            <anchor moveWithCells="1" sizeWithCells="1">
              <from>
                <xdr:col>4</xdr:col>
                <xdr:colOff>2066925</xdr:colOff>
                <xdr:row>3</xdr:row>
                <xdr:rowOff>0</xdr:rowOff>
              </from>
              <to>
                <xdr:col>4</xdr:col>
                <xdr:colOff>4000500</xdr:colOff>
                <xdr:row>4</xdr:row>
                <xdr:rowOff>171450</xdr:rowOff>
              </to>
            </anchor>
          </controlPr>
        </control>
      </mc:Choice>
      <mc:Fallback>
        <control shapeId="3080" r:id="rId6" name="btnExpand"/>
      </mc:Fallback>
    </mc:AlternateContent>
    <mc:AlternateContent xmlns:mc="http://schemas.openxmlformats.org/markup-compatibility/2006">
      <mc:Choice Requires="x14">
        <control shapeId="3079" r:id="rId8" name="btnAddTC">
          <controlPr defaultSize="0" altText="" r:id="rId9">
            <anchor moveWithCells="1" sizeWithCells="1">
              <from>
                <xdr:col>4</xdr:col>
                <xdr:colOff>76200</xdr:colOff>
                <xdr:row>3</xdr:row>
                <xdr:rowOff>0</xdr:rowOff>
              </from>
              <to>
                <xdr:col>4</xdr:col>
                <xdr:colOff>1971675</xdr:colOff>
                <xdr:row>4</xdr:row>
                <xdr:rowOff>171450</xdr:rowOff>
              </to>
            </anchor>
          </controlPr>
        </control>
      </mc:Choice>
      <mc:Fallback>
        <control shapeId="3079" r:id="rId8" name="btnAddTC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FF00"/>
    <pageSetUpPr fitToPage="1"/>
  </sheetPr>
  <dimension ref="A2:H271"/>
  <sheetViews>
    <sheetView showGridLines="0" tabSelected="1" topLeftCell="B1" zoomScale="106" zoomScaleNormal="106" zoomScaleSheetLayoutView="115" workbookViewId="0">
      <pane xSplit="1" ySplit="6" topLeftCell="C12" activePane="bottomRight" state="frozen"/>
      <selection pane="topRight" activeCell="B1" sqref="B1"/>
      <selection pane="bottomLeft" activeCell="B1" sqref="B1"/>
      <selection pane="bottomRight" activeCell="C7" sqref="C7"/>
    </sheetView>
  </sheetViews>
  <sheetFormatPr defaultRowHeight="12.75"/>
  <cols>
    <col min="1" max="1" width="9.140625" hidden="1" customWidth="1"/>
    <col min="2" max="2" width="1.42578125" customWidth="1"/>
    <col min="3" max="3" width="12.28515625" style="40" customWidth="1"/>
    <col min="4" max="4" width="3.5703125" customWidth="1"/>
    <col min="5" max="5" width="59.42578125" customWidth="1"/>
    <col min="6" max="6" width="39.85546875" style="37" customWidth="1"/>
    <col min="7" max="7" width="68.7109375" style="37" customWidth="1"/>
    <col min="8" max="8" width="5" style="41" customWidth="1"/>
    <col min="9" max="9" width="18.5703125" customWidth="1"/>
  </cols>
  <sheetData>
    <row r="2" spans="1:7" ht="18.75">
      <c r="D2" s="42"/>
      <c r="E2" s="43" t="str">
        <f>Summary!C12</f>
        <v>Test Cases</v>
      </c>
      <c r="F2" s="44" t="s">
        <v>37</v>
      </c>
      <c r="G2" s="44"/>
    </row>
    <row r="3" spans="1:7">
      <c r="E3" s="45"/>
      <c r="F3" s="46"/>
      <c r="G3" s="46"/>
    </row>
    <row r="4" spans="1:7">
      <c r="D4" s="47"/>
      <c r="E4" s="48"/>
      <c r="F4" s="49" t="s">
        <v>33</v>
      </c>
      <c r="G4" s="49"/>
    </row>
    <row r="5" spans="1:7">
      <c r="C5" s="50"/>
      <c r="D5" s="51"/>
      <c r="E5" s="52"/>
      <c r="F5" s="53"/>
      <c r="G5" s="53"/>
    </row>
    <row r="6" spans="1:7" s="37" customFormat="1">
      <c r="B6" s="53"/>
      <c r="C6" s="54" t="s">
        <v>22</v>
      </c>
      <c r="D6" s="403" t="s">
        <v>34</v>
      </c>
      <c r="E6" s="403"/>
      <c r="F6" s="511" t="s">
        <v>35</v>
      </c>
      <c r="G6" s="511"/>
    </row>
    <row r="7" spans="1:7" s="38" customFormat="1">
      <c r="B7" s="56"/>
      <c r="C7" s="57" t="str">
        <f>Summary!B13</f>
        <v>TC-100-001</v>
      </c>
      <c r="D7" s="512" t="str">
        <f>Summary!C13</f>
        <v>Verify displaying of UW icon and paper remaining amount .</v>
      </c>
      <c r="E7" s="512"/>
      <c r="F7" s="512"/>
      <c r="G7" s="512"/>
    </row>
    <row r="8" spans="1:7" s="38" customFormat="1" ht="137.25" customHeight="1">
      <c r="B8" s="58"/>
      <c r="C8" s="407"/>
      <c r="D8" s="145" t="s">
        <v>36</v>
      </c>
      <c r="E8" s="478" t="s">
        <v>325</v>
      </c>
      <c r="F8" s="479"/>
      <c r="G8" s="479"/>
    </row>
    <row r="9" spans="1:7" s="38" customFormat="1" ht="39.75" customHeight="1">
      <c r="B9" s="58"/>
      <c r="C9" s="420"/>
      <c r="D9" s="176"/>
      <c r="E9" s="162" t="s">
        <v>326</v>
      </c>
      <c r="F9" s="154"/>
      <c r="G9" s="155"/>
    </row>
    <row r="10" spans="1:7" s="38" customFormat="1">
      <c r="B10" s="58"/>
      <c r="C10" s="420"/>
      <c r="D10" s="146">
        <v>1</v>
      </c>
      <c r="E10" s="147" t="s">
        <v>84</v>
      </c>
      <c r="F10" s="502"/>
      <c r="G10" s="503"/>
    </row>
    <row r="11" spans="1:7" s="38" customFormat="1" ht="104.25" customHeight="1">
      <c r="B11" s="58"/>
      <c r="C11" s="420"/>
      <c r="D11" s="183">
        <v>2</v>
      </c>
      <c r="E11" s="149" t="s">
        <v>327</v>
      </c>
      <c r="F11" s="500" t="s">
        <v>328</v>
      </c>
      <c r="G11" s="501"/>
    </row>
    <row r="12" spans="1:7" s="38" customFormat="1" ht="106.5" customHeight="1">
      <c r="B12" s="58"/>
      <c r="C12" s="420"/>
      <c r="D12" s="184">
        <v>3</v>
      </c>
      <c r="E12" s="219" t="s">
        <v>329</v>
      </c>
      <c r="F12" s="500" t="s">
        <v>328</v>
      </c>
      <c r="G12" s="501"/>
    </row>
    <row r="13" spans="1:7" s="38" customFormat="1" ht="104.25" customHeight="1">
      <c r="B13" s="58"/>
      <c r="C13" s="420"/>
      <c r="D13" s="183">
        <v>4</v>
      </c>
      <c r="E13" s="219" t="s">
        <v>330</v>
      </c>
      <c r="F13" s="513" t="s">
        <v>328</v>
      </c>
      <c r="G13" s="514"/>
    </row>
    <row r="14" spans="1:7" s="38" customFormat="1">
      <c r="B14" s="58"/>
      <c r="C14" s="420"/>
      <c r="D14" s="184">
        <v>5</v>
      </c>
      <c r="E14" s="250" t="s">
        <v>331</v>
      </c>
      <c r="F14" s="185"/>
      <c r="G14" s="186"/>
    </row>
    <row r="15" spans="1:7" s="38" customFormat="1" ht="67.5" customHeight="1">
      <c r="B15" s="58"/>
      <c r="C15" s="420"/>
      <c r="D15" s="183">
        <v>6</v>
      </c>
      <c r="E15" s="152" t="s">
        <v>85</v>
      </c>
      <c r="F15" s="515" t="s">
        <v>332</v>
      </c>
      <c r="G15" s="516"/>
    </row>
    <row r="16" spans="1:7" s="38" customFormat="1">
      <c r="B16" s="58"/>
      <c r="C16" s="420"/>
      <c r="D16" s="184">
        <v>7</v>
      </c>
      <c r="E16" s="275" t="s">
        <v>333</v>
      </c>
      <c r="F16" s="187"/>
      <c r="G16" s="188"/>
    </row>
    <row r="17" spans="1:7" s="38" customFormat="1" ht="120.75" customHeight="1">
      <c r="B17" s="58"/>
      <c r="C17" s="420"/>
      <c r="D17" s="189">
        <v>8</v>
      </c>
      <c r="E17" s="250" t="s">
        <v>334</v>
      </c>
      <c r="F17" s="500" t="s">
        <v>253</v>
      </c>
      <c r="G17" s="501"/>
    </row>
    <row r="18" spans="1:7" s="38" customFormat="1" ht="102.75" customHeight="1">
      <c r="B18" s="58"/>
      <c r="C18" s="420"/>
      <c r="D18" s="179">
        <v>9</v>
      </c>
      <c r="E18" s="219" t="s">
        <v>335</v>
      </c>
      <c r="F18" s="500" t="s">
        <v>328</v>
      </c>
      <c r="G18" s="501"/>
    </row>
    <row r="19" spans="1:7" s="38" customFormat="1">
      <c r="B19" s="58"/>
      <c r="C19" s="420"/>
      <c r="D19" s="190">
        <v>10</v>
      </c>
      <c r="E19" s="156" t="s">
        <v>87</v>
      </c>
      <c r="F19" s="159"/>
      <c r="G19" s="160"/>
    </row>
    <row r="20" spans="1:7" s="38" customFormat="1" ht="114.75">
      <c r="B20" s="58"/>
      <c r="C20" s="420"/>
      <c r="D20" s="179">
        <v>11</v>
      </c>
      <c r="E20" s="156" t="s">
        <v>86</v>
      </c>
      <c r="F20" s="500" t="s">
        <v>336</v>
      </c>
      <c r="G20" s="501"/>
    </row>
    <row r="21" spans="1:7" s="38" customFormat="1">
      <c r="B21" s="58"/>
      <c r="C21" s="420"/>
      <c r="D21" s="183">
        <v>12</v>
      </c>
      <c r="E21" s="156" t="s">
        <v>88</v>
      </c>
      <c r="F21" s="157"/>
      <c r="G21" s="158"/>
    </row>
    <row r="22" spans="1:7" s="38" customFormat="1" ht="25.5">
      <c r="B22" s="58"/>
      <c r="C22" s="420"/>
      <c r="D22" s="191">
        <v>13</v>
      </c>
      <c r="E22" s="156" t="s">
        <v>89</v>
      </c>
      <c r="F22" s="157"/>
      <c r="G22" s="158"/>
    </row>
    <row r="23" spans="1:7" s="38" customFormat="1" ht="102" customHeight="1">
      <c r="B23" s="58"/>
      <c r="C23" s="420"/>
      <c r="D23" s="190">
        <v>14</v>
      </c>
      <c r="E23" s="156" t="s">
        <v>90</v>
      </c>
      <c r="F23" s="500" t="s">
        <v>253</v>
      </c>
      <c r="G23" s="501"/>
    </row>
    <row r="24" spans="1:7" s="38" customFormat="1">
      <c r="B24" s="58"/>
      <c r="C24" s="420"/>
      <c r="D24" s="179">
        <v>15</v>
      </c>
      <c r="E24" s="156" t="s">
        <v>91</v>
      </c>
      <c r="F24" s="161"/>
      <c r="G24" s="158"/>
    </row>
    <row r="25" spans="1:7" s="38" customFormat="1" ht="106.5" customHeight="1">
      <c r="B25" s="58"/>
      <c r="C25" s="420"/>
      <c r="D25" s="183">
        <v>16</v>
      </c>
      <c r="E25" s="156" t="s">
        <v>92</v>
      </c>
      <c r="F25" s="500" t="s">
        <v>328</v>
      </c>
      <c r="G25" s="501"/>
    </row>
    <row r="26" spans="1:7" s="38" customFormat="1" ht="25.5">
      <c r="B26" s="58"/>
      <c r="C26" s="420"/>
      <c r="D26" s="191">
        <v>17</v>
      </c>
      <c r="E26" s="156" t="s">
        <v>337</v>
      </c>
      <c r="F26" s="157"/>
      <c r="G26" s="158"/>
    </row>
    <row r="27" spans="1:7" s="38" customFormat="1" ht="105" customHeight="1">
      <c r="B27" s="58"/>
      <c r="C27" s="420"/>
      <c r="D27" s="183">
        <v>18</v>
      </c>
      <c r="E27" s="156" t="s">
        <v>338</v>
      </c>
      <c r="F27" s="500" t="s">
        <v>339</v>
      </c>
      <c r="G27" s="501"/>
    </row>
    <row r="28" spans="1:7" s="38" customFormat="1" ht="25.5">
      <c r="B28" s="58"/>
      <c r="C28" s="420"/>
      <c r="D28" s="191">
        <v>19</v>
      </c>
      <c r="E28" s="156" t="s">
        <v>93</v>
      </c>
      <c r="F28" s="525"/>
      <c r="G28" s="526"/>
    </row>
    <row r="29" spans="1:7" s="39" customFormat="1">
      <c r="B29" s="62"/>
      <c r="C29" s="421"/>
      <c r="D29" s="150"/>
      <c r="E29" s="151"/>
      <c r="F29" s="430"/>
      <c r="G29" s="431"/>
    </row>
    <row r="30" spans="1:7" s="38" customFormat="1">
      <c r="B30" s="56"/>
      <c r="C30" s="57" t="str">
        <f>Summary!B14</f>
        <v>TC-103-001</v>
      </c>
      <c r="D30" s="512" t="str">
        <f>Summary!C14</f>
        <v>[DEBUG]Verify existing XML output after send and receive content.</v>
      </c>
      <c r="E30" s="512"/>
      <c r="F30" s="512"/>
      <c r="G30" s="512"/>
    </row>
    <row r="31" spans="1:7" s="38" customFormat="1" ht="111" customHeight="1">
      <c r="B31" s="58"/>
      <c r="C31" s="407"/>
      <c r="D31" s="145" t="s">
        <v>36</v>
      </c>
      <c r="E31" s="422" t="s">
        <v>235</v>
      </c>
      <c r="F31" s="423"/>
      <c r="G31" s="423"/>
    </row>
    <row r="32" spans="1:7" s="38" customFormat="1" ht="48" customHeight="1">
      <c r="B32" s="58"/>
      <c r="C32" s="420"/>
      <c r="D32" s="153"/>
      <c r="E32" s="178" t="s">
        <v>83</v>
      </c>
      <c r="F32" s="154"/>
      <c r="G32" s="155"/>
    </row>
    <row r="33" spans="1:7" s="38" customFormat="1" ht="33" customHeight="1">
      <c r="B33" s="58"/>
      <c r="C33" s="420"/>
      <c r="D33" s="294">
        <v>1</v>
      </c>
      <c r="E33" s="301" t="s">
        <v>233</v>
      </c>
      <c r="F33" s="523" t="s">
        <v>231</v>
      </c>
      <c r="G33" s="524"/>
    </row>
    <row r="34" spans="1:7" s="38" customFormat="1" ht="35.25" customHeight="1">
      <c r="B34" s="58"/>
      <c r="C34" s="420"/>
      <c r="D34" s="232">
        <v>2</v>
      </c>
      <c r="E34" s="258" t="s">
        <v>208</v>
      </c>
      <c r="F34" s="426"/>
      <c r="G34" s="427"/>
    </row>
    <row r="35" spans="1:7" s="38" customFormat="1">
      <c r="B35" s="58"/>
      <c r="C35" s="420"/>
      <c r="D35" s="283">
        <v>2</v>
      </c>
      <c r="E35" s="138" t="s">
        <v>80</v>
      </c>
      <c r="F35" s="424"/>
      <c r="G35" s="425"/>
    </row>
    <row r="36" spans="1:7" s="38" customFormat="1" ht="20.25" customHeight="1">
      <c r="B36" s="58"/>
      <c r="C36" s="420"/>
      <c r="D36" s="232">
        <v>4</v>
      </c>
      <c r="E36" s="258" t="s">
        <v>100</v>
      </c>
      <c r="F36" s="426" t="s">
        <v>106</v>
      </c>
      <c r="G36" s="427"/>
    </row>
    <row r="37" spans="1:7" s="38" customFormat="1" ht="30.75" customHeight="1">
      <c r="B37" s="58"/>
      <c r="C37" s="420"/>
      <c r="D37" s="282">
        <v>3</v>
      </c>
      <c r="E37" s="222" t="s">
        <v>232</v>
      </c>
      <c r="F37" s="428" t="s">
        <v>231</v>
      </c>
      <c r="G37" s="429"/>
    </row>
    <row r="38" spans="1:7" s="38" customFormat="1" ht="42" customHeight="1">
      <c r="B38" s="58"/>
      <c r="C38" s="420"/>
      <c r="D38" s="293">
        <v>4</v>
      </c>
      <c r="E38" s="223" t="s">
        <v>229</v>
      </c>
      <c r="F38" s="521"/>
      <c r="G38" s="522"/>
    </row>
    <row r="39" spans="1:7" s="38" customFormat="1" ht="44.25" customHeight="1">
      <c r="B39" s="58"/>
      <c r="C39" s="420"/>
      <c r="D39" s="232">
        <v>7</v>
      </c>
      <c r="E39" s="258" t="s">
        <v>209</v>
      </c>
      <c r="F39" s="426"/>
      <c r="G39" s="427"/>
    </row>
    <row r="40" spans="1:7" s="38" customFormat="1" ht="13.5" customHeight="1">
      <c r="B40" s="58"/>
      <c r="C40" s="420"/>
      <c r="D40" s="283">
        <v>5</v>
      </c>
      <c r="E40" s="138" t="s">
        <v>80</v>
      </c>
      <c r="F40" s="206"/>
      <c r="G40" s="207"/>
    </row>
    <row r="41" spans="1:7" s="38" customFormat="1" ht="17.25" customHeight="1">
      <c r="B41" s="58"/>
      <c r="C41" s="420"/>
      <c r="D41" s="232">
        <v>9</v>
      </c>
      <c r="E41" s="258" t="s">
        <v>210</v>
      </c>
      <c r="F41" s="426" t="s">
        <v>107</v>
      </c>
      <c r="G41" s="427"/>
    </row>
    <row r="42" spans="1:7" s="38" customFormat="1" ht="31.5" customHeight="1">
      <c r="B42" s="58"/>
      <c r="C42" s="420"/>
      <c r="D42" s="208">
        <v>6</v>
      </c>
      <c r="E42" s="222" t="s">
        <v>228</v>
      </c>
      <c r="F42" s="428" t="s">
        <v>231</v>
      </c>
      <c r="G42" s="429"/>
    </row>
    <row r="43" spans="1:7" s="39" customFormat="1">
      <c r="B43" s="62"/>
      <c r="C43" s="421"/>
      <c r="D43" s="150"/>
      <c r="E43" s="151"/>
      <c r="F43" s="430"/>
      <c r="G43" s="431"/>
    </row>
    <row r="44" spans="1:7" s="38" customFormat="1">
      <c r="B44" s="56"/>
      <c r="C44" s="57" t="str">
        <f>Summary!B15</f>
        <v>TC-200-001</v>
      </c>
      <c r="D44" s="512" t="str">
        <f>Summary!C15</f>
        <v>Verify displaying of a warning message in case UWandRW_Receiver.exe is not started when the controller is started.</v>
      </c>
      <c r="E44" s="512"/>
      <c r="F44" s="512"/>
      <c r="G44" s="512"/>
    </row>
    <row r="45" spans="1:7" s="38" customFormat="1" ht="27" customHeight="1">
      <c r="B45" s="58"/>
      <c r="C45" s="407"/>
      <c r="D45" s="59" t="s">
        <v>36</v>
      </c>
      <c r="E45" s="410" t="s">
        <v>79</v>
      </c>
      <c r="F45" s="411"/>
      <c r="G45" s="411"/>
    </row>
    <row r="46" spans="1:7" s="38" customFormat="1" ht="43.5" customHeight="1">
      <c r="B46" s="58"/>
      <c r="C46" s="408"/>
      <c r="D46" s="60">
        <v>1</v>
      </c>
      <c r="E46" s="137" t="s">
        <v>213</v>
      </c>
      <c r="F46" s="412"/>
      <c r="G46" s="413"/>
    </row>
    <row r="47" spans="1:7" s="38" customFormat="1" ht="15.75" customHeight="1">
      <c r="B47" s="58"/>
      <c r="C47" s="408"/>
      <c r="D47" s="61">
        <v>2</v>
      </c>
      <c r="E47" s="138" t="s">
        <v>80</v>
      </c>
      <c r="F47" s="414"/>
      <c r="G47" s="415"/>
    </row>
    <row r="48" spans="1:7" s="38" customFormat="1" ht="30" customHeight="1">
      <c r="B48" s="58"/>
      <c r="C48" s="408"/>
      <c r="D48" s="61">
        <v>3</v>
      </c>
      <c r="E48" s="136" t="s">
        <v>81</v>
      </c>
      <c r="F48" s="416" t="s">
        <v>82</v>
      </c>
      <c r="G48" s="417"/>
    </row>
    <row r="49" spans="1:7" s="39" customFormat="1">
      <c r="B49" s="62"/>
      <c r="C49" s="409"/>
      <c r="D49" s="63"/>
      <c r="E49" s="64"/>
      <c r="F49" s="418"/>
      <c r="G49" s="419"/>
    </row>
    <row r="50" spans="1:7" s="38" customFormat="1">
      <c r="B50" s="56"/>
      <c r="C50" s="57" t="str">
        <f>Summary!B16</f>
        <v>TC-201-001</v>
      </c>
      <c r="D50" s="444" t="str">
        <f>Summary!C16</f>
        <v>Verify operation if RW is not started when the controller is started.</v>
      </c>
      <c r="E50" s="444"/>
      <c r="F50" s="444"/>
      <c r="G50" s="444"/>
    </row>
    <row r="51" spans="1:7" s="38" customFormat="1" ht="66" customHeight="1">
      <c r="B51" s="58"/>
      <c r="C51" s="407"/>
      <c r="D51" s="145" t="s">
        <v>36</v>
      </c>
      <c r="E51" s="422" t="s">
        <v>242</v>
      </c>
      <c r="F51" s="423"/>
      <c r="G51" s="423"/>
    </row>
    <row r="52" spans="1:7" s="38" customFormat="1" ht="47.25" customHeight="1">
      <c r="B52" s="58"/>
      <c r="C52" s="420"/>
      <c r="D52" s="176"/>
      <c r="E52" s="177" t="s">
        <v>83</v>
      </c>
      <c r="F52" s="154"/>
      <c r="G52" s="155"/>
    </row>
    <row r="53" spans="1:7" s="38" customFormat="1" ht="33" customHeight="1">
      <c r="B53" s="58"/>
      <c r="C53" s="420"/>
      <c r="D53" s="278">
        <v>1</v>
      </c>
      <c r="E53" s="287" t="s">
        <v>236</v>
      </c>
      <c r="F53" s="311"/>
      <c r="G53" s="155"/>
    </row>
    <row r="54" spans="1:7" s="38" customFormat="1">
      <c r="B54" s="58"/>
      <c r="C54" s="420"/>
      <c r="D54" s="290">
        <v>2</v>
      </c>
      <c r="E54" s="138" t="s">
        <v>94</v>
      </c>
      <c r="F54" s="517"/>
      <c r="G54" s="518"/>
    </row>
    <row r="55" spans="1:7" s="38" customFormat="1">
      <c r="B55" s="58"/>
      <c r="C55" s="420"/>
      <c r="D55" s="292">
        <v>3</v>
      </c>
      <c r="E55" s="138" t="s">
        <v>95</v>
      </c>
      <c r="F55" s="424"/>
      <c r="G55" s="425"/>
    </row>
    <row r="56" spans="1:7" s="38" customFormat="1" ht="102" customHeight="1">
      <c r="B56" s="58"/>
      <c r="C56" s="420"/>
      <c r="D56" s="291">
        <v>4</v>
      </c>
      <c r="E56" s="224" t="s">
        <v>239</v>
      </c>
      <c r="F56" s="519" t="s">
        <v>240</v>
      </c>
      <c r="G56" s="520"/>
    </row>
    <row r="57" spans="1:7" s="38" customFormat="1" ht="23.25" customHeight="1">
      <c r="B57" s="58"/>
      <c r="C57" s="420"/>
      <c r="D57" s="279">
        <v>5</v>
      </c>
      <c r="E57" s="224" t="s">
        <v>237</v>
      </c>
      <c r="F57" s="506" t="s">
        <v>238</v>
      </c>
      <c r="G57" s="438"/>
    </row>
    <row r="58" spans="1:7" s="39" customFormat="1">
      <c r="B58" s="62"/>
      <c r="C58" s="421"/>
      <c r="D58" s="150"/>
      <c r="E58" s="151"/>
      <c r="F58" s="430"/>
      <c r="G58" s="431"/>
    </row>
    <row r="59" spans="1:7" s="38" customFormat="1">
      <c r="B59" s="56"/>
      <c r="C59" s="57" t="str">
        <f>Summary!B17</f>
        <v>TC-201-002</v>
      </c>
      <c r="D59" s="444" t="str">
        <f>Summary!C17</f>
        <v>Verify operation when RW ends while the controller is starting.</v>
      </c>
      <c r="E59" s="444"/>
      <c r="F59" s="444"/>
      <c r="G59" s="444"/>
    </row>
    <row r="60" spans="1:7" s="38" customFormat="1" ht="57.75" customHeight="1">
      <c r="B60" s="58"/>
      <c r="C60" s="407"/>
      <c r="D60" s="145" t="s">
        <v>36</v>
      </c>
      <c r="E60" s="422" t="s">
        <v>257</v>
      </c>
      <c r="F60" s="423"/>
      <c r="G60" s="423"/>
    </row>
    <row r="61" spans="1:7" s="38" customFormat="1" ht="45.75" customHeight="1">
      <c r="B61" s="58"/>
      <c r="C61" s="420"/>
      <c r="D61" s="176"/>
      <c r="E61" s="177" t="s">
        <v>83</v>
      </c>
      <c r="F61" s="154"/>
      <c r="G61" s="155"/>
    </row>
    <row r="62" spans="1:7" s="38" customFormat="1" ht="57" customHeight="1">
      <c r="B62" s="58"/>
      <c r="C62" s="420"/>
      <c r="D62" s="146">
        <v>1</v>
      </c>
      <c r="E62" s="224" t="s">
        <v>249</v>
      </c>
      <c r="F62" s="502"/>
      <c r="G62" s="503"/>
    </row>
    <row r="63" spans="1:7" s="38" customFormat="1" ht="36" customHeight="1">
      <c r="B63" s="58"/>
      <c r="C63" s="420"/>
      <c r="D63" s="210">
        <v>2</v>
      </c>
      <c r="E63" s="252" t="s">
        <v>375</v>
      </c>
      <c r="F63" s="535"/>
      <c r="G63" s="536"/>
    </row>
    <row r="64" spans="1:7" s="38" customFormat="1">
      <c r="B64" s="58"/>
      <c r="C64" s="420"/>
      <c r="D64" s="179">
        <v>3</v>
      </c>
      <c r="E64" s="138" t="s">
        <v>94</v>
      </c>
      <c r="F64" s="424"/>
      <c r="G64" s="425"/>
    </row>
    <row r="65" spans="1:7" s="38" customFormat="1">
      <c r="B65" s="58"/>
      <c r="C65" s="420"/>
      <c r="D65" s="210">
        <v>4</v>
      </c>
      <c r="E65" s="138" t="s">
        <v>95</v>
      </c>
      <c r="F65" s="424"/>
      <c r="G65" s="425"/>
    </row>
    <row r="66" spans="1:7" s="38" customFormat="1" ht="112.5" customHeight="1">
      <c r="B66" s="58"/>
      <c r="C66" s="420"/>
      <c r="D66" s="179">
        <v>5</v>
      </c>
      <c r="E66" s="224" t="s">
        <v>256</v>
      </c>
      <c r="F66" s="504" t="s">
        <v>255</v>
      </c>
      <c r="G66" s="505"/>
    </row>
    <row r="67" spans="1:7" s="38" customFormat="1" ht="45.75" customHeight="1">
      <c r="B67" s="58"/>
      <c r="C67" s="420"/>
      <c r="D67" s="251">
        <v>6</v>
      </c>
      <c r="E67" s="224" t="s">
        <v>376</v>
      </c>
      <c r="F67" s="506" t="s">
        <v>252</v>
      </c>
      <c r="G67" s="438"/>
    </row>
    <row r="68" spans="1:7" s="38" customFormat="1">
      <c r="B68" s="58"/>
      <c r="C68" s="420"/>
      <c r="D68" s="290">
        <v>7</v>
      </c>
      <c r="E68" s="138" t="s">
        <v>251</v>
      </c>
      <c r="F68" s="163"/>
      <c r="G68" s="164"/>
    </row>
    <row r="69" spans="1:7" s="38" customFormat="1" ht="40.5" customHeight="1">
      <c r="B69" s="58"/>
      <c r="C69" s="420"/>
      <c r="D69" s="290">
        <v>8</v>
      </c>
      <c r="E69" s="224" t="s">
        <v>262</v>
      </c>
      <c r="F69" s="509"/>
      <c r="G69" s="510"/>
    </row>
    <row r="70" spans="1:7" s="38" customFormat="1" ht="55.5" customHeight="1">
      <c r="B70" s="58"/>
      <c r="C70" s="420"/>
      <c r="D70" s="179">
        <v>9</v>
      </c>
      <c r="E70" s="138" t="s">
        <v>96</v>
      </c>
      <c r="F70" s="527" t="s">
        <v>252</v>
      </c>
      <c r="G70" s="528"/>
    </row>
    <row r="71" spans="1:7" s="38" customFormat="1">
      <c r="B71" s="58"/>
      <c r="C71" s="420"/>
      <c r="D71" s="210">
        <v>10</v>
      </c>
      <c r="E71" s="138" t="s">
        <v>97</v>
      </c>
      <c r="F71" s="163"/>
      <c r="G71" s="164"/>
    </row>
    <row r="72" spans="1:7" s="38" customFormat="1" ht="103.5" customHeight="1">
      <c r="B72" s="58"/>
      <c r="C72" s="420"/>
      <c r="D72" s="179">
        <v>11</v>
      </c>
      <c r="E72" s="224" t="s">
        <v>250</v>
      </c>
      <c r="F72" s="507" t="s">
        <v>253</v>
      </c>
      <c r="G72" s="508"/>
    </row>
    <row r="73" spans="1:7" s="38" customFormat="1" ht="38.25">
      <c r="B73" s="58"/>
      <c r="C73" s="420"/>
      <c r="D73" s="251">
        <v>12</v>
      </c>
      <c r="E73" s="138" t="s">
        <v>377</v>
      </c>
      <c r="F73" s="509" t="s">
        <v>254</v>
      </c>
      <c r="G73" s="510"/>
    </row>
    <row r="74" spans="1:7" s="39" customFormat="1">
      <c r="B74" s="62"/>
      <c r="C74" s="421"/>
      <c r="D74" s="150"/>
      <c r="E74" s="151"/>
      <c r="F74" s="430"/>
      <c r="G74" s="431"/>
    </row>
    <row r="75" spans="1:7" s="38" customFormat="1">
      <c r="B75" s="56"/>
      <c r="C75" s="57" t="str">
        <f>Summary!B18</f>
        <v>TC-201-003</v>
      </c>
      <c r="D75" s="444" t="str">
        <f>Summary!C18</f>
        <v>Verify operation when RW starts while the controller is starting.</v>
      </c>
      <c r="E75" s="444"/>
      <c r="F75" s="444"/>
      <c r="G75" s="444"/>
    </row>
    <row r="76" spans="1:7" s="38" customFormat="1" ht="66" customHeight="1">
      <c r="B76" s="58"/>
      <c r="C76" s="407"/>
      <c r="D76" s="145" t="s">
        <v>36</v>
      </c>
      <c r="E76" s="422" t="s">
        <v>261</v>
      </c>
      <c r="F76" s="423"/>
      <c r="G76" s="423"/>
    </row>
    <row r="77" spans="1:7" s="38" customFormat="1" ht="45.75" customHeight="1">
      <c r="B77" s="58"/>
      <c r="C77" s="420"/>
      <c r="D77" s="153"/>
      <c r="E77" s="177" t="s">
        <v>83</v>
      </c>
      <c r="F77" s="154"/>
      <c r="G77" s="155"/>
    </row>
    <row r="78" spans="1:7" s="38" customFormat="1">
      <c r="B78" s="58"/>
      <c r="C78" s="420"/>
      <c r="D78" s="146">
        <v>1</v>
      </c>
      <c r="E78" s="138" t="s">
        <v>185</v>
      </c>
      <c r="F78" s="502"/>
      <c r="G78" s="503"/>
    </row>
    <row r="79" spans="1:7" s="38" customFormat="1" ht="38.25">
      <c r="B79" s="58"/>
      <c r="C79" s="420"/>
      <c r="D79" s="190">
        <v>2</v>
      </c>
      <c r="E79" s="224" t="s">
        <v>379</v>
      </c>
      <c r="F79" s="424"/>
      <c r="G79" s="425"/>
    </row>
    <row r="80" spans="1:7" s="38" customFormat="1">
      <c r="B80" s="58"/>
      <c r="C80" s="420"/>
      <c r="D80" s="179">
        <v>3</v>
      </c>
      <c r="E80" s="138" t="s">
        <v>98</v>
      </c>
      <c r="F80" s="424"/>
      <c r="G80" s="425"/>
    </row>
    <row r="81" spans="1:7" s="38" customFormat="1" ht="106.5" customHeight="1">
      <c r="B81" s="58"/>
      <c r="C81" s="420"/>
      <c r="D81" s="190">
        <v>4</v>
      </c>
      <c r="E81" s="224" t="s">
        <v>256</v>
      </c>
      <c r="F81" s="529" t="s">
        <v>255</v>
      </c>
      <c r="G81" s="530"/>
    </row>
    <row r="82" spans="1:7" s="38" customFormat="1" ht="38.25">
      <c r="B82" s="58"/>
      <c r="C82" s="420"/>
      <c r="D82" s="179">
        <v>5</v>
      </c>
      <c r="E82" s="138" t="s">
        <v>380</v>
      </c>
      <c r="F82" s="506" t="s">
        <v>263</v>
      </c>
      <c r="G82" s="438"/>
    </row>
    <row r="83" spans="1:7" s="39" customFormat="1">
      <c r="B83" s="62"/>
      <c r="C83" s="421"/>
      <c r="D83" s="150"/>
      <c r="E83" s="151"/>
      <c r="F83" s="430"/>
      <c r="G83" s="431"/>
    </row>
    <row r="84" spans="1:7" s="38" customFormat="1">
      <c r="B84" s="56"/>
      <c r="C84" s="57" t="str">
        <f>Summary!B19</f>
        <v>TC-300-001</v>
      </c>
      <c r="D84" s="444" t="str">
        <f>Summary!C19</f>
        <v>[DEBUG] Verify registration for condition monitoring channel.</v>
      </c>
      <c r="E84" s="444"/>
      <c r="F84" s="444"/>
      <c r="G84" s="444"/>
    </row>
    <row r="85" spans="1:7" s="38" customFormat="1" ht="99.75" customHeight="1">
      <c r="B85" s="58"/>
      <c r="C85" s="407"/>
      <c r="D85" s="145" t="s">
        <v>36</v>
      </c>
      <c r="E85" s="422" t="s">
        <v>277</v>
      </c>
      <c r="F85" s="423"/>
      <c r="G85" s="423"/>
    </row>
    <row r="86" spans="1:7" s="38" customFormat="1" ht="44.25" customHeight="1">
      <c r="B86" s="58"/>
      <c r="C86" s="420"/>
      <c r="D86" s="153"/>
      <c r="E86" s="178" t="s">
        <v>83</v>
      </c>
      <c r="F86" s="154"/>
      <c r="G86" s="155"/>
    </row>
    <row r="87" spans="1:7" s="38" customFormat="1" ht="33.75" customHeight="1">
      <c r="B87" s="58"/>
      <c r="C87" s="420"/>
      <c r="D87" s="294">
        <v>1</v>
      </c>
      <c r="E87" s="310" t="s">
        <v>265</v>
      </c>
      <c r="F87" s="537"/>
      <c r="G87" s="538"/>
    </row>
    <row r="88" spans="1:7" s="38" customFormat="1" ht="63.75">
      <c r="B88" s="58"/>
      <c r="C88" s="420"/>
      <c r="D88" s="291">
        <v>2</v>
      </c>
      <c r="E88" s="156" t="s">
        <v>99</v>
      </c>
      <c r="F88" s="489"/>
      <c r="G88" s="437"/>
    </row>
    <row r="89" spans="1:7" s="38" customFormat="1">
      <c r="B89" s="58"/>
      <c r="C89" s="420"/>
      <c r="D89" s="282">
        <v>3</v>
      </c>
      <c r="E89" s="138" t="s">
        <v>80</v>
      </c>
      <c r="F89" s="424"/>
      <c r="G89" s="425"/>
    </row>
    <row r="90" spans="1:7" s="38" customFormat="1" ht="17.25" customHeight="1">
      <c r="B90" s="58"/>
      <c r="C90" s="420"/>
      <c r="D90" s="290">
        <v>4</v>
      </c>
      <c r="E90" s="165" t="s">
        <v>100</v>
      </c>
      <c r="F90" s="440" t="s">
        <v>106</v>
      </c>
      <c r="G90" s="441"/>
    </row>
    <row r="91" spans="1:7" s="38" customFormat="1">
      <c r="B91" s="58"/>
      <c r="C91" s="420"/>
      <c r="D91" s="282">
        <v>5</v>
      </c>
      <c r="E91" s="166" t="s">
        <v>101</v>
      </c>
      <c r="F91" s="440" t="s">
        <v>275</v>
      </c>
      <c r="G91" s="441"/>
    </row>
    <row r="92" spans="1:7" s="38" customFormat="1" ht="26.25" customHeight="1">
      <c r="B92" s="58"/>
      <c r="C92" s="420"/>
      <c r="D92" s="290">
        <v>6</v>
      </c>
      <c r="E92" s="166" t="s">
        <v>264</v>
      </c>
      <c r="F92" s="454" t="s">
        <v>267</v>
      </c>
      <c r="G92" s="455"/>
    </row>
    <row r="93" spans="1:7" s="38" customFormat="1" ht="25.5">
      <c r="B93" s="58"/>
      <c r="C93" s="420"/>
      <c r="D93" s="282">
        <v>7</v>
      </c>
      <c r="E93" s="166" t="s">
        <v>102</v>
      </c>
      <c r="F93" s="168" t="s">
        <v>107</v>
      </c>
      <c r="G93" s="169"/>
    </row>
    <row r="94" spans="1:7" s="38" customFormat="1" ht="102">
      <c r="B94" s="58"/>
      <c r="C94" s="420"/>
      <c r="D94" s="290">
        <v>8</v>
      </c>
      <c r="E94" s="167" t="s">
        <v>103</v>
      </c>
      <c r="F94" s="500"/>
      <c r="G94" s="501"/>
    </row>
    <row r="95" spans="1:7" s="38" customFormat="1" ht="59.25" customHeight="1">
      <c r="B95" s="58"/>
      <c r="C95" s="420"/>
      <c r="D95" s="283">
        <v>9</v>
      </c>
      <c r="E95" s="167" t="s">
        <v>104</v>
      </c>
      <c r="F95" s="500" t="s">
        <v>276</v>
      </c>
      <c r="G95" s="501"/>
    </row>
    <row r="96" spans="1:7" s="38" customFormat="1" ht="38.25">
      <c r="B96" s="58"/>
      <c r="C96" s="420"/>
      <c r="D96" s="289">
        <v>10</v>
      </c>
      <c r="E96" s="167" t="s">
        <v>271</v>
      </c>
      <c r="F96" s="533" t="s">
        <v>273</v>
      </c>
      <c r="G96" s="534"/>
    </row>
    <row r="97" spans="1:7" s="38" customFormat="1" ht="25.5">
      <c r="B97" s="58"/>
      <c r="C97" s="420"/>
      <c r="D97" s="283">
        <v>11</v>
      </c>
      <c r="E97" s="167" t="s">
        <v>105</v>
      </c>
      <c r="F97" s="170"/>
      <c r="G97" s="171"/>
    </row>
    <row r="98" spans="1:7" s="38" customFormat="1" ht="62.25" customHeight="1">
      <c r="B98" s="58"/>
      <c r="C98" s="420"/>
      <c r="D98" s="288">
        <v>12</v>
      </c>
      <c r="E98" s="253" t="s">
        <v>274</v>
      </c>
      <c r="F98" s="500" t="s">
        <v>276</v>
      </c>
      <c r="G98" s="501"/>
    </row>
    <row r="99" spans="1:7" s="38" customFormat="1" ht="25.5">
      <c r="B99" s="58"/>
      <c r="C99" s="420"/>
      <c r="D99" s="283">
        <v>13</v>
      </c>
      <c r="E99" s="166" t="s">
        <v>268</v>
      </c>
      <c r="F99" s="168"/>
      <c r="G99" s="169"/>
    </row>
    <row r="100" spans="1:7" s="38" customFormat="1" ht="60.75" customHeight="1">
      <c r="B100" s="58"/>
      <c r="C100" s="420"/>
      <c r="D100" s="179">
        <v>14</v>
      </c>
      <c r="E100" s="166" t="s">
        <v>269</v>
      </c>
      <c r="F100" s="500" t="s">
        <v>270</v>
      </c>
      <c r="G100" s="501"/>
    </row>
    <row r="101" spans="1:7" s="39" customFormat="1">
      <c r="B101" s="62"/>
      <c r="C101" s="421"/>
      <c r="D101" s="150"/>
      <c r="E101" s="151"/>
      <c r="F101" s="430"/>
      <c r="G101" s="431"/>
    </row>
    <row r="102" spans="1:7" s="38" customFormat="1">
      <c r="B102" s="56"/>
      <c r="C102" s="57" t="str">
        <f>Summary!B20</f>
        <v>TC-301-001</v>
      </c>
      <c r="D102" s="444" t="str">
        <f>Summary!C20</f>
        <v>[DEBUG] Verify delete channels when controller starts and channel IDs exist</v>
      </c>
      <c r="E102" s="444"/>
      <c r="F102" s="444"/>
      <c r="G102" s="444"/>
    </row>
    <row r="103" spans="1:7" s="38" customFormat="1" ht="93.75" customHeight="1">
      <c r="B103" s="58"/>
      <c r="C103" s="407"/>
      <c r="D103" s="145" t="s">
        <v>36</v>
      </c>
      <c r="E103" s="531" t="s">
        <v>383</v>
      </c>
      <c r="F103" s="532"/>
      <c r="G103" s="532"/>
    </row>
    <row r="104" spans="1:7" s="38" customFormat="1" ht="34.5" customHeight="1">
      <c r="B104" s="58"/>
      <c r="C104" s="420"/>
      <c r="D104" s="276">
        <v>1</v>
      </c>
      <c r="E104" s="297" t="s">
        <v>278</v>
      </c>
      <c r="F104" s="539"/>
      <c r="G104" s="540"/>
    </row>
    <row r="105" spans="1:7" s="38" customFormat="1" ht="39.75" customHeight="1">
      <c r="B105" s="58"/>
      <c r="C105" s="420"/>
      <c r="D105" s="290">
        <v>2</v>
      </c>
      <c r="E105" s="138" t="s">
        <v>108</v>
      </c>
      <c r="F105" s="489"/>
      <c r="G105" s="437"/>
    </row>
    <row r="106" spans="1:7" s="38" customFormat="1">
      <c r="B106" s="58"/>
      <c r="C106" s="420"/>
      <c r="D106" s="283">
        <v>3</v>
      </c>
      <c r="E106" s="138" t="s">
        <v>80</v>
      </c>
      <c r="F106" s="424"/>
      <c r="G106" s="425"/>
    </row>
    <row r="107" spans="1:7" s="38" customFormat="1" ht="27.75" customHeight="1">
      <c r="B107" s="58"/>
      <c r="C107" s="420"/>
      <c r="D107" s="179">
        <v>4</v>
      </c>
      <c r="E107" s="138" t="s">
        <v>279</v>
      </c>
      <c r="F107" s="498" t="s">
        <v>280</v>
      </c>
      <c r="G107" s="499"/>
    </row>
    <row r="108" spans="1:7" s="39" customFormat="1">
      <c r="B108" s="62"/>
      <c r="C108" s="421"/>
      <c r="D108" s="150"/>
      <c r="E108" s="151"/>
      <c r="F108" s="430"/>
      <c r="G108" s="431"/>
    </row>
    <row r="109" spans="1:7" s="38" customFormat="1">
      <c r="B109" s="56"/>
      <c r="C109" s="57" t="str">
        <f>Summary!B21</f>
        <v>TC-302-001</v>
      </c>
      <c r="D109" s="444" t="str">
        <f>Summary!C21</f>
        <v>[DEBUG] Verify delete channels when UWandRW_Receiver.exe is terminated</v>
      </c>
      <c r="E109" s="444"/>
      <c r="F109" s="444"/>
      <c r="G109" s="444"/>
    </row>
    <row r="110" spans="1:7" s="38" customFormat="1" ht="66" customHeight="1">
      <c r="B110" s="58"/>
      <c r="C110" s="407"/>
      <c r="D110" s="145" t="s">
        <v>36</v>
      </c>
      <c r="E110" s="478" t="s">
        <v>109</v>
      </c>
      <c r="F110" s="479"/>
      <c r="G110" s="479"/>
    </row>
    <row r="111" spans="1:7" s="38" customFormat="1" ht="43.5" customHeight="1">
      <c r="B111" s="58"/>
      <c r="C111" s="420"/>
      <c r="D111" s="153"/>
      <c r="E111" s="177" t="s">
        <v>83</v>
      </c>
      <c r="F111" s="154"/>
      <c r="G111" s="155"/>
    </row>
    <row r="112" spans="1:7" s="38" customFormat="1" ht="34.5" customHeight="1">
      <c r="B112" s="58"/>
      <c r="C112" s="420"/>
      <c r="D112" s="294">
        <v>1</v>
      </c>
      <c r="E112" s="307" t="s">
        <v>384</v>
      </c>
      <c r="F112" s="154"/>
      <c r="G112" s="155"/>
    </row>
    <row r="113" spans="1:8" s="38" customFormat="1" ht="25.5">
      <c r="B113" s="58"/>
      <c r="C113" s="420"/>
      <c r="D113" s="309">
        <v>2</v>
      </c>
      <c r="E113" s="308" t="s">
        <v>186</v>
      </c>
      <c r="F113" s="502"/>
      <c r="G113" s="503"/>
    </row>
    <row r="114" spans="1:8" s="38" customFormat="1">
      <c r="B114" s="58"/>
      <c r="C114" s="420"/>
      <c r="D114" s="283">
        <v>3</v>
      </c>
      <c r="E114" s="138" t="s">
        <v>110</v>
      </c>
      <c r="F114" s="509" t="s">
        <v>112</v>
      </c>
      <c r="G114" s="510"/>
    </row>
    <row r="115" spans="1:8" s="38" customFormat="1">
      <c r="B115" s="58"/>
      <c r="C115" s="420"/>
      <c r="D115" s="288">
        <v>4</v>
      </c>
      <c r="E115" s="138" t="s">
        <v>111</v>
      </c>
      <c r="F115" s="509" t="s">
        <v>284</v>
      </c>
      <c r="G115" s="510"/>
    </row>
    <row r="116" spans="1:8" s="38" customFormat="1">
      <c r="B116" s="58"/>
      <c r="C116" s="420"/>
      <c r="D116" s="283">
        <v>5</v>
      </c>
      <c r="E116" s="138" t="s">
        <v>111</v>
      </c>
      <c r="F116" s="509"/>
      <c r="G116" s="510"/>
    </row>
    <row r="117" spans="1:8" s="38" customFormat="1" ht="63.75">
      <c r="B117" s="58"/>
      <c r="C117" s="420"/>
      <c r="D117" s="289">
        <v>6</v>
      </c>
      <c r="E117" s="138" t="s">
        <v>187</v>
      </c>
      <c r="F117" s="509" t="s">
        <v>285</v>
      </c>
      <c r="G117" s="510"/>
    </row>
    <row r="118" spans="1:8" s="38" customFormat="1" ht="76.5">
      <c r="B118" s="58"/>
      <c r="C118" s="420"/>
      <c r="D118" s="283">
        <v>7</v>
      </c>
      <c r="E118" s="138" t="s">
        <v>188</v>
      </c>
      <c r="F118" s="442" t="s">
        <v>286</v>
      </c>
      <c r="G118" s="443"/>
    </row>
    <row r="119" spans="1:8" s="38" customFormat="1" ht="26.25" customHeight="1">
      <c r="B119" s="58"/>
      <c r="C119" s="420"/>
      <c r="D119" s="179">
        <v>8</v>
      </c>
      <c r="E119" s="224" t="s">
        <v>264</v>
      </c>
      <c r="F119" s="498" t="s">
        <v>287</v>
      </c>
      <c r="G119" s="499"/>
    </row>
    <row r="120" spans="1:8" s="39" customFormat="1">
      <c r="B120" s="62"/>
      <c r="C120" s="421"/>
      <c r="D120" s="150"/>
      <c r="E120" s="151"/>
      <c r="F120" s="430"/>
      <c r="G120" s="431"/>
    </row>
    <row r="121" spans="1:8" s="38" customFormat="1">
      <c r="B121" s="56"/>
      <c r="C121" s="57" t="str">
        <f>Summary!B22</f>
        <v>TC-302-002</v>
      </c>
      <c r="D121" s="444" t="str">
        <f>Summary!C22</f>
        <v>Verify delete channels when Signal Status is not received</v>
      </c>
      <c r="E121" s="444"/>
      <c r="F121" s="444"/>
      <c r="G121" s="444"/>
    </row>
    <row r="122" spans="1:8" s="38" customFormat="1" ht="58.5" customHeight="1">
      <c r="B122" s="58"/>
      <c r="C122" s="407"/>
      <c r="D122" s="145" t="s">
        <v>36</v>
      </c>
      <c r="E122" s="422" t="s">
        <v>290</v>
      </c>
      <c r="F122" s="423"/>
      <c r="G122" s="423"/>
    </row>
    <row r="123" spans="1:8" s="38" customFormat="1" ht="45.75" customHeight="1">
      <c r="B123" s="58"/>
      <c r="C123" s="420"/>
      <c r="D123" s="180"/>
      <c r="E123" s="192" t="s">
        <v>83</v>
      </c>
      <c r="F123" s="492"/>
      <c r="G123" s="493"/>
      <c r="H123" s="326"/>
    </row>
    <row r="124" spans="1:8" s="38" customFormat="1" ht="30" customHeight="1">
      <c r="B124" s="58"/>
      <c r="C124" s="420"/>
      <c r="D124" s="285">
        <v>1</v>
      </c>
      <c r="E124" s="295" t="s">
        <v>278</v>
      </c>
      <c r="F124" s="280"/>
      <c r="G124" s="280"/>
      <c r="H124" s="326"/>
    </row>
    <row r="125" spans="1:8" s="38" customFormat="1">
      <c r="B125" s="58"/>
      <c r="C125" s="420"/>
      <c r="D125" s="179">
        <v>2</v>
      </c>
      <c r="E125" s="138" t="s">
        <v>288</v>
      </c>
      <c r="F125" s="496" t="s">
        <v>284</v>
      </c>
      <c r="G125" s="497"/>
    </row>
    <row r="126" spans="1:8" s="38" customFormat="1">
      <c r="B126" s="58"/>
      <c r="C126" s="420"/>
      <c r="D126" s="286">
        <v>3</v>
      </c>
      <c r="E126" s="138" t="s">
        <v>111</v>
      </c>
      <c r="F126" s="442"/>
      <c r="G126" s="443"/>
    </row>
    <row r="127" spans="1:8" s="38" customFormat="1">
      <c r="B127" s="58"/>
      <c r="C127" s="420"/>
      <c r="D127" s="179">
        <v>4</v>
      </c>
      <c r="E127" s="138" t="s">
        <v>289</v>
      </c>
      <c r="F127" s="442"/>
      <c r="G127" s="443"/>
    </row>
    <row r="128" spans="1:8" s="38" customFormat="1" ht="41.25" customHeight="1">
      <c r="B128" s="58"/>
      <c r="C128" s="420"/>
      <c r="D128" s="279">
        <v>5</v>
      </c>
      <c r="E128" s="224" t="s">
        <v>264</v>
      </c>
      <c r="F128" s="498" t="s">
        <v>287</v>
      </c>
      <c r="G128" s="499"/>
    </row>
    <row r="129" spans="1:8" s="39" customFormat="1">
      <c r="B129" s="62"/>
      <c r="C129" s="421"/>
      <c r="D129" s="150"/>
      <c r="E129" s="151"/>
      <c r="F129" s="430"/>
      <c r="G129" s="431"/>
    </row>
    <row r="130" spans="1:8" s="38" customFormat="1">
      <c r="B130" s="56"/>
      <c r="C130" s="57" t="str">
        <f>Summary!B23</f>
        <v>TC-302-003</v>
      </c>
      <c r="D130" s="444" t="str">
        <f>Summary!C23</f>
        <v>[DEBUG] Verify re-register channels</v>
      </c>
      <c r="E130" s="444"/>
      <c r="F130" s="444"/>
      <c r="G130" s="444"/>
    </row>
    <row r="131" spans="1:8" s="38" customFormat="1" ht="73.5" customHeight="1">
      <c r="B131" s="58"/>
      <c r="C131" s="407"/>
      <c r="D131" s="145" t="s">
        <v>36</v>
      </c>
      <c r="E131" s="422" t="s">
        <v>297</v>
      </c>
      <c r="F131" s="423"/>
      <c r="G131" s="423"/>
    </row>
    <row r="132" spans="1:8" s="38" customFormat="1" ht="42" customHeight="1">
      <c r="B132" s="58"/>
      <c r="C132" s="420"/>
      <c r="D132" s="182"/>
      <c r="E132" s="192" t="s">
        <v>83</v>
      </c>
      <c r="F132" s="492"/>
      <c r="G132" s="493"/>
      <c r="H132" s="326"/>
    </row>
    <row r="133" spans="1:8" s="38" customFormat="1" ht="33.75" customHeight="1">
      <c r="B133" s="58"/>
      <c r="C133" s="420"/>
      <c r="D133" s="302">
        <v>1</v>
      </c>
      <c r="E133" s="295" t="s">
        <v>283</v>
      </c>
      <c r="F133" s="539"/>
      <c r="G133" s="539"/>
      <c r="H133" s="326"/>
    </row>
    <row r="134" spans="1:8" s="38" customFormat="1" ht="31.5" customHeight="1">
      <c r="B134" s="58"/>
      <c r="C134" s="420"/>
      <c r="D134" s="303">
        <v>2</v>
      </c>
      <c r="E134" s="138" t="s">
        <v>189</v>
      </c>
      <c r="F134" s="489"/>
      <c r="G134" s="437"/>
    </row>
    <row r="135" spans="1:8" s="38" customFormat="1">
      <c r="B135" s="58"/>
      <c r="C135" s="420"/>
      <c r="D135" s="304">
        <v>3</v>
      </c>
      <c r="E135" s="138" t="s">
        <v>291</v>
      </c>
      <c r="F135" s="442" t="s">
        <v>284</v>
      </c>
      <c r="G135" s="443"/>
    </row>
    <row r="136" spans="1:8" s="38" customFormat="1">
      <c r="B136" s="58"/>
      <c r="C136" s="420"/>
      <c r="D136" s="303">
        <v>4</v>
      </c>
      <c r="E136" s="138" t="s">
        <v>111</v>
      </c>
      <c r="F136" s="442"/>
      <c r="G136" s="443"/>
    </row>
    <row r="137" spans="1:8" s="38" customFormat="1" ht="25.5">
      <c r="B137" s="58"/>
      <c r="C137" s="420"/>
      <c r="D137" s="304">
        <v>5</v>
      </c>
      <c r="E137" s="138" t="s">
        <v>292</v>
      </c>
      <c r="F137" s="442"/>
      <c r="G137" s="443"/>
    </row>
    <row r="138" spans="1:8" s="38" customFormat="1" ht="25.5">
      <c r="B138" s="58"/>
      <c r="C138" s="420"/>
      <c r="D138" s="303">
        <v>6</v>
      </c>
      <c r="E138" s="138" t="s">
        <v>293</v>
      </c>
      <c r="F138" s="442"/>
      <c r="G138" s="443"/>
    </row>
    <row r="139" spans="1:8" s="38" customFormat="1">
      <c r="B139" s="58"/>
      <c r="C139" s="420"/>
      <c r="D139" s="304">
        <v>7</v>
      </c>
      <c r="E139" s="138" t="s">
        <v>294</v>
      </c>
      <c r="F139" s="442" t="s">
        <v>284</v>
      </c>
      <c r="G139" s="443"/>
    </row>
    <row r="140" spans="1:8" s="38" customFormat="1">
      <c r="B140" s="58"/>
      <c r="C140" s="420"/>
      <c r="D140" s="303">
        <v>8</v>
      </c>
      <c r="E140" s="138" t="s">
        <v>111</v>
      </c>
      <c r="F140" s="442"/>
      <c r="G140" s="443"/>
    </row>
    <row r="141" spans="1:8" s="38" customFormat="1">
      <c r="B141" s="58"/>
      <c r="C141" s="420"/>
      <c r="D141" s="305">
        <v>9</v>
      </c>
      <c r="E141" s="138" t="s">
        <v>113</v>
      </c>
      <c r="F141" s="442"/>
      <c r="G141" s="443"/>
    </row>
    <row r="142" spans="1:8" s="38" customFormat="1" ht="25.5">
      <c r="B142" s="58"/>
      <c r="C142" s="420"/>
      <c r="D142" s="306">
        <v>10</v>
      </c>
      <c r="E142" s="224" t="s">
        <v>385</v>
      </c>
      <c r="F142" s="494" t="s">
        <v>295</v>
      </c>
      <c r="G142" s="495"/>
    </row>
    <row r="143" spans="1:8" s="39" customFormat="1">
      <c r="B143" s="62"/>
      <c r="C143" s="421"/>
      <c r="D143" s="150"/>
      <c r="E143" s="151"/>
      <c r="F143" s="430"/>
      <c r="G143" s="431"/>
    </row>
    <row r="144" spans="1:8" s="38" customFormat="1">
      <c r="B144" s="56"/>
      <c r="C144" s="57" t="str">
        <f>Summary!B24</f>
        <v>TC-400-001</v>
      </c>
      <c r="D144" s="444" t="str">
        <f>Summary!C24</f>
        <v>[DEBUG]Verify registration for paper information notification channel while RW is running.</v>
      </c>
      <c r="E144" s="444"/>
      <c r="F144" s="444"/>
      <c r="G144" s="444"/>
    </row>
    <row r="145" spans="2:7" s="38" customFormat="1" ht="99" customHeight="1">
      <c r="B145" s="58"/>
      <c r="C145" s="407"/>
      <c r="D145" s="145" t="s">
        <v>36</v>
      </c>
      <c r="E145" s="422" t="s">
        <v>317</v>
      </c>
      <c r="F145" s="423"/>
      <c r="G145" s="423"/>
    </row>
    <row r="146" spans="2:7" s="38" customFormat="1" ht="45" customHeight="1">
      <c r="B146" s="58"/>
      <c r="C146" s="420"/>
      <c r="D146" s="180"/>
      <c r="E146" s="181" t="s">
        <v>83</v>
      </c>
      <c r="F146" s="480"/>
      <c r="G146" s="481"/>
    </row>
    <row r="147" spans="2:7" s="38" customFormat="1" ht="30.75" customHeight="1">
      <c r="B147" s="58"/>
      <c r="C147" s="420"/>
      <c r="D147" s="285">
        <v>1</v>
      </c>
      <c r="E147" s="301" t="s">
        <v>308</v>
      </c>
      <c r="F147" s="539"/>
      <c r="G147" s="540"/>
    </row>
    <row r="148" spans="2:7" s="38" customFormat="1" ht="63.75">
      <c r="B148" s="58"/>
      <c r="C148" s="420"/>
      <c r="D148" s="179">
        <v>2</v>
      </c>
      <c r="E148" s="284" t="s">
        <v>114</v>
      </c>
      <c r="F148" s="489"/>
      <c r="G148" s="437"/>
    </row>
    <row r="149" spans="2:7" s="38" customFormat="1">
      <c r="B149" s="58"/>
      <c r="C149" s="420"/>
      <c r="D149" s="279">
        <v>3</v>
      </c>
      <c r="E149" s="165" t="s">
        <v>80</v>
      </c>
      <c r="F149" s="456"/>
      <c r="G149" s="457"/>
    </row>
    <row r="150" spans="2:7" s="38" customFormat="1">
      <c r="B150" s="58"/>
      <c r="C150" s="420"/>
      <c r="D150" s="179">
        <v>4</v>
      </c>
      <c r="E150" s="165" t="s">
        <v>100</v>
      </c>
      <c r="F150" s="440" t="s">
        <v>106</v>
      </c>
      <c r="G150" s="441"/>
    </row>
    <row r="151" spans="2:7" s="38" customFormat="1">
      <c r="B151" s="58"/>
      <c r="C151" s="420"/>
      <c r="D151" s="286">
        <v>5</v>
      </c>
      <c r="E151" s="166" t="s">
        <v>101</v>
      </c>
      <c r="F151" s="440" t="s">
        <v>299</v>
      </c>
      <c r="G151" s="441"/>
    </row>
    <row r="152" spans="2:7" s="38" customFormat="1" ht="31.5" customHeight="1">
      <c r="B152" s="58"/>
      <c r="C152" s="420"/>
      <c r="D152" s="179">
        <v>6</v>
      </c>
      <c r="E152" s="257" t="s">
        <v>264</v>
      </c>
      <c r="F152" s="454" t="s">
        <v>309</v>
      </c>
      <c r="G152" s="455"/>
    </row>
    <row r="153" spans="2:7" s="38" customFormat="1" ht="31.5" customHeight="1">
      <c r="B153" s="58"/>
      <c r="C153" s="420"/>
      <c r="D153" s="279">
        <v>7</v>
      </c>
      <c r="E153" s="166" t="s">
        <v>102</v>
      </c>
      <c r="F153" s="440" t="s">
        <v>107</v>
      </c>
      <c r="G153" s="441"/>
    </row>
    <row r="154" spans="2:7" s="38" customFormat="1" ht="110.25" customHeight="1">
      <c r="B154" s="58"/>
      <c r="C154" s="420"/>
      <c r="D154" s="179">
        <v>8</v>
      </c>
      <c r="E154" s="167" t="s">
        <v>116</v>
      </c>
      <c r="F154" s="440"/>
      <c r="G154" s="441"/>
    </row>
    <row r="155" spans="2:7" s="38" customFormat="1" ht="159.75" customHeight="1">
      <c r="B155" s="58"/>
      <c r="C155" s="420"/>
      <c r="D155" s="279">
        <v>9</v>
      </c>
      <c r="E155" s="257" t="s">
        <v>387</v>
      </c>
      <c r="F155" s="490" t="s">
        <v>388</v>
      </c>
      <c r="G155" s="491"/>
    </row>
    <row r="156" spans="2:7" s="38" customFormat="1" ht="135.75" customHeight="1">
      <c r="B156" s="58"/>
      <c r="C156" s="420"/>
      <c r="D156" s="232">
        <v>10</v>
      </c>
      <c r="E156" s="258" t="s">
        <v>218</v>
      </c>
      <c r="F156" s="426" t="s">
        <v>211</v>
      </c>
      <c r="G156" s="427"/>
    </row>
    <row r="157" spans="2:7" s="38" customFormat="1" ht="25.5">
      <c r="B157" s="58"/>
      <c r="C157" s="420"/>
      <c r="D157" s="172">
        <v>10</v>
      </c>
      <c r="E157" s="166" t="s">
        <v>105</v>
      </c>
      <c r="F157" s="168"/>
      <c r="G157" s="169"/>
    </row>
    <row r="158" spans="2:7" s="38" customFormat="1" ht="32.25" customHeight="1">
      <c r="B158" s="58"/>
      <c r="C158" s="420"/>
      <c r="D158" s="232">
        <v>11</v>
      </c>
      <c r="E158" s="258" t="s">
        <v>117</v>
      </c>
      <c r="F158" s="426" t="s">
        <v>386</v>
      </c>
      <c r="G158" s="427"/>
    </row>
    <row r="159" spans="2:7" s="38" customFormat="1" ht="45" customHeight="1">
      <c r="B159" s="58"/>
      <c r="C159" s="420"/>
      <c r="D159" s="172">
        <v>11</v>
      </c>
      <c r="E159" s="253" t="s">
        <v>311</v>
      </c>
      <c r="F159" s="454" t="s">
        <v>309</v>
      </c>
      <c r="G159" s="455"/>
    </row>
    <row r="160" spans="2:7" s="38" customFormat="1" ht="38.25">
      <c r="B160" s="58"/>
      <c r="C160" s="420"/>
      <c r="D160" s="148">
        <v>12</v>
      </c>
      <c r="E160" s="166" t="s">
        <v>118</v>
      </c>
      <c r="F160" s="173"/>
      <c r="G160" s="174"/>
    </row>
    <row r="161" spans="1:7" s="38" customFormat="1" ht="63.75">
      <c r="B161" s="58"/>
      <c r="C161" s="420"/>
      <c r="D161" s="172">
        <v>13</v>
      </c>
      <c r="E161" s="166" t="s">
        <v>191</v>
      </c>
      <c r="F161" s="541"/>
      <c r="G161" s="542"/>
    </row>
    <row r="162" spans="1:7" s="38" customFormat="1" ht="44.25" customHeight="1">
      <c r="B162" s="58"/>
      <c r="C162" s="420"/>
      <c r="D162" s="148">
        <v>14</v>
      </c>
      <c r="E162" s="166" t="s">
        <v>119</v>
      </c>
      <c r="F162" s="173"/>
      <c r="G162" s="174"/>
    </row>
    <row r="163" spans="1:7" s="38" customFormat="1" ht="57" customHeight="1">
      <c r="B163" s="58"/>
      <c r="C163" s="420"/>
      <c r="D163" s="232">
        <v>15</v>
      </c>
      <c r="E163" s="258" t="s">
        <v>120</v>
      </c>
      <c r="F163" s="426" t="s">
        <v>310</v>
      </c>
      <c r="G163" s="427"/>
    </row>
    <row r="164" spans="1:7" s="38" customFormat="1" ht="45" customHeight="1">
      <c r="B164" s="58"/>
      <c r="C164" s="420"/>
      <c r="D164" s="148">
        <v>15</v>
      </c>
      <c r="E164" s="253" t="s">
        <v>316</v>
      </c>
      <c r="F164" s="454" t="s">
        <v>309</v>
      </c>
      <c r="G164" s="455"/>
    </row>
    <row r="165" spans="1:7" s="39" customFormat="1">
      <c r="B165" s="62"/>
      <c r="C165" s="421"/>
      <c r="D165" s="150"/>
      <c r="E165" s="151"/>
      <c r="F165" s="430"/>
      <c r="G165" s="431"/>
    </row>
    <row r="166" spans="1:7" s="38" customFormat="1">
      <c r="B166" s="56"/>
      <c r="C166" s="249" t="str">
        <f>Summary!B25</f>
        <v>TC-400-002</v>
      </c>
      <c r="D166" s="453" t="str">
        <f>Summary!C25</f>
        <v>[DEBUG]Verify registration for paper information notification channel while UW is running.</v>
      </c>
      <c r="E166" s="453"/>
      <c r="F166" s="453"/>
      <c r="G166" s="453"/>
    </row>
    <row r="167" spans="1:7" s="38" customFormat="1" ht="99" customHeight="1">
      <c r="B167" s="58"/>
      <c r="C167" s="459"/>
      <c r="D167" s="227" t="s">
        <v>36</v>
      </c>
      <c r="E167" s="462" t="s">
        <v>222</v>
      </c>
      <c r="F167" s="463"/>
      <c r="G167" s="463"/>
    </row>
    <row r="168" spans="1:7" s="38" customFormat="1" ht="45" customHeight="1">
      <c r="B168" s="58"/>
      <c r="C168" s="460"/>
      <c r="D168" s="259"/>
      <c r="E168" s="229" t="s">
        <v>83</v>
      </c>
      <c r="F168" s="472"/>
      <c r="G168" s="473"/>
    </row>
    <row r="169" spans="1:7" s="38" customFormat="1" ht="63.75">
      <c r="B169" s="58"/>
      <c r="C169" s="460"/>
      <c r="D169" s="234">
        <v>1</v>
      </c>
      <c r="E169" s="260" t="s">
        <v>114</v>
      </c>
      <c r="F169" s="488"/>
      <c r="G169" s="475"/>
    </row>
    <row r="170" spans="1:7" s="38" customFormat="1">
      <c r="B170" s="58"/>
      <c r="C170" s="460"/>
      <c r="D170" s="232">
        <v>2</v>
      </c>
      <c r="E170" s="261" t="s">
        <v>80</v>
      </c>
      <c r="F170" s="447"/>
      <c r="G170" s="448"/>
    </row>
    <row r="171" spans="1:7" s="38" customFormat="1">
      <c r="B171" s="58"/>
      <c r="C171" s="460"/>
      <c r="D171" s="234">
        <v>3</v>
      </c>
      <c r="E171" s="261" t="s">
        <v>100</v>
      </c>
      <c r="F171" s="426" t="s">
        <v>106</v>
      </c>
      <c r="G171" s="427"/>
    </row>
    <row r="172" spans="1:7" s="38" customFormat="1">
      <c r="B172" s="58"/>
      <c r="C172" s="460"/>
      <c r="D172" s="232">
        <v>4</v>
      </c>
      <c r="E172" s="258" t="s">
        <v>101</v>
      </c>
      <c r="F172" s="426" t="s">
        <v>121</v>
      </c>
      <c r="G172" s="427"/>
    </row>
    <row r="173" spans="1:7" s="38" customFormat="1" ht="31.5" customHeight="1">
      <c r="B173" s="58"/>
      <c r="C173" s="460"/>
      <c r="D173" s="234">
        <v>5</v>
      </c>
      <c r="E173" s="258" t="s">
        <v>115</v>
      </c>
      <c r="F173" s="426" t="s">
        <v>122</v>
      </c>
      <c r="G173" s="427"/>
    </row>
    <row r="174" spans="1:7" s="38" customFormat="1" ht="31.5" customHeight="1">
      <c r="B174" s="58"/>
      <c r="C174" s="460"/>
      <c r="D174" s="232">
        <v>6</v>
      </c>
      <c r="E174" s="258" t="s">
        <v>102</v>
      </c>
      <c r="F174" s="426" t="s">
        <v>107</v>
      </c>
      <c r="G174" s="427"/>
    </row>
    <row r="175" spans="1:7" s="38" customFormat="1" ht="110.25" customHeight="1">
      <c r="B175" s="58"/>
      <c r="C175" s="460"/>
      <c r="D175" s="234">
        <v>7</v>
      </c>
      <c r="E175" s="262" t="s">
        <v>318</v>
      </c>
      <c r="F175" s="426"/>
      <c r="G175" s="427"/>
    </row>
    <row r="176" spans="1:7" s="38" customFormat="1" ht="137.25" customHeight="1">
      <c r="B176" s="58"/>
      <c r="C176" s="460"/>
      <c r="D176" s="232">
        <v>8</v>
      </c>
      <c r="E176" s="258" t="s">
        <v>212</v>
      </c>
      <c r="F176" s="426" t="s">
        <v>211</v>
      </c>
      <c r="G176" s="427"/>
    </row>
    <row r="177" spans="1:7" s="38" customFormat="1" ht="30" customHeight="1">
      <c r="B177" s="58"/>
      <c r="C177" s="460"/>
      <c r="D177" s="232"/>
      <c r="E177" s="258" t="s">
        <v>218</v>
      </c>
      <c r="F177" s="484" t="s">
        <v>219</v>
      </c>
      <c r="G177" s="485"/>
    </row>
    <row r="178" spans="1:7" s="38" customFormat="1" ht="25.5">
      <c r="B178" s="58"/>
      <c r="C178" s="460"/>
      <c r="D178" s="234">
        <v>9</v>
      </c>
      <c r="E178" s="258" t="s">
        <v>105</v>
      </c>
      <c r="F178" s="263"/>
      <c r="G178" s="264"/>
    </row>
    <row r="179" spans="1:7" s="38" customFormat="1" ht="25.5">
      <c r="B179" s="58"/>
      <c r="C179" s="460"/>
      <c r="D179" s="232">
        <v>10</v>
      </c>
      <c r="E179" s="258" t="s">
        <v>117</v>
      </c>
      <c r="F179" s="426" t="s">
        <v>319</v>
      </c>
      <c r="G179" s="427"/>
    </row>
    <row r="180" spans="1:7" s="38" customFormat="1" ht="63.75">
      <c r="B180" s="58"/>
      <c r="C180" s="460"/>
      <c r="D180" s="234">
        <v>11</v>
      </c>
      <c r="E180" s="262" t="s">
        <v>190</v>
      </c>
      <c r="F180" s="426" t="s">
        <v>320</v>
      </c>
      <c r="G180" s="427"/>
    </row>
    <row r="181" spans="1:7" s="38" customFormat="1" ht="38.25">
      <c r="B181" s="58"/>
      <c r="C181" s="460"/>
      <c r="D181" s="232">
        <v>12</v>
      </c>
      <c r="E181" s="258" t="s">
        <v>118</v>
      </c>
      <c r="F181" s="265"/>
      <c r="G181" s="266"/>
    </row>
    <row r="182" spans="1:7" s="38" customFormat="1" ht="63.75">
      <c r="B182" s="58"/>
      <c r="C182" s="460"/>
      <c r="D182" s="234">
        <v>13</v>
      </c>
      <c r="E182" s="258" t="s">
        <v>191</v>
      </c>
      <c r="F182" s="265"/>
      <c r="G182" s="266"/>
    </row>
    <row r="183" spans="1:7" s="38" customFormat="1" ht="38.25">
      <c r="B183" s="58"/>
      <c r="C183" s="460"/>
      <c r="D183" s="232">
        <v>14</v>
      </c>
      <c r="E183" s="258" t="s">
        <v>119</v>
      </c>
      <c r="F183" s="265"/>
      <c r="G183" s="266"/>
    </row>
    <row r="184" spans="1:7" s="38" customFormat="1" ht="57" customHeight="1">
      <c r="B184" s="58"/>
      <c r="C184" s="460"/>
      <c r="D184" s="234">
        <v>15</v>
      </c>
      <c r="E184" s="258" t="s">
        <v>120</v>
      </c>
      <c r="F184" s="426" t="s">
        <v>321</v>
      </c>
      <c r="G184" s="427"/>
    </row>
    <row r="185" spans="1:7" s="38" customFormat="1" ht="69" customHeight="1">
      <c r="B185" s="58"/>
      <c r="C185" s="460"/>
      <c r="D185" s="232">
        <v>16</v>
      </c>
      <c r="E185" s="267" t="s">
        <v>190</v>
      </c>
      <c r="F185" s="458" t="s">
        <v>322</v>
      </c>
      <c r="G185" s="427"/>
    </row>
    <row r="186" spans="1:7" s="38" customFormat="1" ht="69" customHeight="1">
      <c r="B186" s="58"/>
      <c r="C186" s="460"/>
      <c r="D186" s="268"/>
      <c r="E186" s="269" t="s">
        <v>223</v>
      </c>
      <c r="F186" s="270"/>
      <c r="G186" s="271"/>
    </row>
    <row r="187" spans="1:7" s="38" customFormat="1" ht="69" customHeight="1">
      <c r="B187" s="58"/>
      <c r="C187" s="460"/>
      <c r="D187" s="268"/>
      <c r="E187" s="272" t="s">
        <v>224</v>
      </c>
      <c r="F187" s="486" t="s">
        <v>225</v>
      </c>
      <c r="G187" s="487"/>
    </row>
    <row r="188" spans="1:7" s="39" customFormat="1">
      <c r="B188" s="62"/>
      <c r="C188" s="461"/>
      <c r="D188" s="239"/>
      <c r="E188" s="241"/>
      <c r="F188" s="445"/>
      <c r="G188" s="446"/>
    </row>
    <row r="189" spans="1:7" s="38" customFormat="1" ht="17.25" customHeight="1">
      <c r="B189" s="56"/>
      <c r="C189" s="57" t="str">
        <f>Summary!B26</f>
        <v>TC-401-001</v>
      </c>
      <c r="D189" s="444" t="str">
        <f>Summary!C26</f>
        <v>[DEBUG] Verify delete Paper information channels when controller starts and channel IDs exist</v>
      </c>
      <c r="E189" s="444"/>
      <c r="F189" s="444"/>
      <c r="G189" s="444"/>
    </row>
    <row r="190" spans="1:7" s="38" customFormat="1" ht="45.75" customHeight="1">
      <c r="B190" s="58"/>
      <c r="C190" s="407"/>
      <c r="D190" s="145" t="s">
        <v>36</v>
      </c>
      <c r="E190" s="432" t="s">
        <v>307</v>
      </c>
      <c r="F190" s="433"/>
      <c r="G190" s="433"/>
    </row>
    <row r="191" spans="1:7" s="38" customFormat="1" ht="31.5" customHeight="1">
      <c r="B191" s="58"/>
      <c r="C191" s="420"/>
      <c r="D191" s="276">
        <v>1</v>
      </c>
      <c r="E191" s="297" t="s">
        <v>278</v>
      </c>
      <c r="F191" s="280"/>
      <c r="G191" s="281"/>
    </row>
    <row r="192" spans="1:7" s="38" customFormat="1" ht="33" customHeight="1">
      <c r="B192" s="58"/>
      <c r="C192" s="420"/>
      <c r="D192" s="283">
        <v>2</v>
      </c>
      <c r="E192" s="298" t="s">
        <v>206</v>
      </c>
      <c r="F192" s="434"/>
      <c r="G192" s="435"/>
    </row>
    <row r="193" spans="1:7" s="38" customFormat="1">
      <c r="B193" s="58"/>
      <c r="C193" s="420"/>
      <c r="D193" s="283">
        <v>3</v>
      </c>
      <c r="E193" s="299" t="s">
        <v>80</v>
      </c>
      <c r="F193" s="436"/>
      <c r="G193" s="437"/>
    </row>
    <row r="194" spans="1:7" s="38" customFormat="1" ht="33" customHeight="1">
      <c r="B194" s="58"/>
      <c r="C194" s="420"/>
      <c r="D194" s="209">
        <v>4</v>
      </c>
      <c r="E194" s="300" t="s">
        <v>306</v>
      </c>
      <c r="F194" s="438" t="s">
        <v>280</v>
      </c>
      <c r="G194" s="439"/>
    </row>
    <row r="195" spans="1:7" s="39" customFormat="1">
      <c r="B195" s="62"/>
      <c r="C195" s="421"/>
      <c r="D195" s="150"/>
      <c r="E195" s="151"/>
      <c r="F195" s="430"/>
      <c r="G195" s="431"/>
    </row>
    <row r="196" spans="1:7" s="38" customFormat="1">
      <c r="B196" s="56"/>
      <c r="C196" s="57" t="str">
        <f>Summary!B27</f>
        <v>TC-402-001</v>
      </c>
      <c r="D196" s="444" t="str">
        <f>Summary!C27</f>
        <v>Verify reflecting roll diameter, windable amount of paper and stop roll diameter from RW into TP-UWRW_Communication.ini file.</v>
      </c>
      <c r="E196" s="444"/>
      <c r="F196" s="444"/>
      <c r="G196" s="444"/>
    </row>
    <row r="197" spans="1:7" s="38" customFormat="1" ht="108" customHeight="1">
      <c r="B197" s="58"/>
      <c r="C197" s="407"/>
      <c r="D197" s="145" t="s">
        <v>36</v>
      </c>
      <c r="E197" s="478" t="s">
        <v>305</v>
      </c>
      <c r="F197" s="479"/>
      <c r="G197" s="479"/>
    </row>
    <row r="198" spans="1:7" s="38" customFormat="1" ht="47.25" customHeight="1">
      <c r="B198" s="58"/>
      <c r="C198" s="420"/>
      <c r="D198" s="180"/>
      <c r="E198" s="177" t="s">
        <v>83</v>
      </c>
      <c r="F198" s="480"/>
      <c r="G198" s="481"/>
    </row>
    <row r="199" spans="1:7" s="38" customFormat="1" ht="33" customHeight="1">
      <c r="B199" s="58"/>
      <c r="C199" s="420"/>
      <c r="D199" s="279">
        <v>1</v>
      </c>
      <c r="E199" s="295" t="s">
        <v>304</v>
      </c>
      <c r="F199" s="539"/>
      <c r="G199" s="540"/>
    </row>
    <row r="200" spans="1:7" s="38" customFormat="1" ht="123" customHeight="1">
      <c r="B200" s="58"/>
      <c r="C200" s="420"/>
      <c r="D200" s="184">
        <v>2</v>
      </c>
      <c r="E200" s="296" t="s">
        <v>301</v>
      </c>
      <c r="F200" s="436"/>
      <c r="G200" s="437"/>
    </row>
    <row r="201" spans="1:7" s="38" customFormat="1" ht="55.5" customHeight="1">
      <c r="B201" s="58"/>
      <c r="C201" s="420"/>
      <c r="D201" s="279">
        <v>3</v>
      </c>
      <c r="E201" s="175" t="s">
        <v>302</v>
      </c>
      <c r="F201" s="482" t="s">
        <v>139</v>
      </c>
      <c r="G201" s="483"/>
    </row>
    <row r="202" spans="1:7" s="39" customFormat="1">
      <c r="B202" s="62"/>
      <c r="C202" s="421"/>
      <c r="D202" s="150"/>
      <c r="E202" s="151"/>
      <c r="F202" s="430"/>
      <c r="G202" s="431"/>
    </row>
    <row r="203" spans="1:7" s="38" customFormat="1">
      <c r="B203" s="56"/>
      <c r="C203" s="249" t="str">
        <f>Summary!B28</f>
        <v>TC-402-002</v>
      </c>
      <c r="D203" s="453" t="str">
        <f>Summary!C28</f>
        <v>Verify reflecting paper information from RW into the current print condition when the controller is started.</v>
      </c>
      <c r="E203" s="453"/>
      <c r="F203" s="453"/>
      <c r="G203" s="453"/>
    </row>
    <row r="204" spans="1:7" s="38" customFormat="1" ht="108.75" customHeight="1">
      <c r="B204" s="58"/>
      <c r="C204" s="459"/>
      <c r="D204" s="227" t="s">
        <v>36</v>
      </c>
      <c r="E204" s="462" t="s">
        <v>123</v>
      </c>
      <c r="F204" s="463"/>
      <c r="G204" s="463"/>
    </row>
    <row r="205" spans="1:7" s="38" customFormat="1" ht="49.5" customHeight="1">
      <c r="B205" s="58"/>
      <c r="C205" s="460"/>
      <c r="D205" s="228"/>
      <c r="E205" s="229" t="s">
        <v>83</v>
      </c>
      <c r="F205" s="472"/>
      <c r="G205" s="473"/>
    </row>
    <row r="206" spans="1:7" s="38" customFormat="1" ht="76.5">
      <c r="B206" s="58"/>
      <c r="C206" s="460"/>
      <c r="D206" s="230">
        <v>1</v>
      </c>
      <c r="E206" s="231" t="s">
        <v>192</v>
      </c>
      <c r="F206" s="474"/>
      <c r="G206" s="475"/>
    </row>
    <row r="207" spans="1:7" s="38" customFormat="1" ht="25.5">
      <c r="B207" s="58"/>
      <c r="C207" s="460"/>
      <c r="D207" s="232">
        <v>2</v>
      </c>
      <c r="E207" s="233" t="s">
        <v>193</v>
      </c>
      <c r="F207" s="447"/>
      <c r="G207" s="448"/>
    </row>
    <row r="208" spans="1:7" s="38" customFormat="1">
      <c r="B208" s="58"/>
      <c r="C208" s="460"/>
      <c r="D208" s="234">
        <v>3</v>
      </c>
      <c r="E208" s="233" t="s">
        <v>124</v>
      </c>
      <c r="F208" s="447"/>
      <c r="G208" s="448"/>
    </row>
    <row r="209" spans="1:7" s="38" customFormat="1" ht="55.5" customHeight="1">
      <c r="B209" s="58"/>
      <c r="C209" s="460"/>
      <c r="D209" s="232">
        <v>4</v>
      </c>
      <c r="E209" s="233" t="s">
        <v>125</v>
      </c>
      <c r="F209" s="449" t="s">
        <v>243</v>
      </c>
      <c r="G209" s="450"/>
    </row>
    <row r="210" spans="1:7" s="38" customFormat="1">
      <c r="B210" s="58"/>
      <c r="C210" s="460"/>
      <c r="D210" s="234">
        <v>5</v>
      </c>
      <c r="E210" s="233" t="s">
        <v>126</v>
      </c>
      <c r="F210" s="451"/>
      <c r="G210" s="452"/>
    </row>
    <row r="211" spans="1:7" s="38" customFormat="1" ht="28.5" customHeight="1">
      <c r="B211" s="58"/>
      <c r="C211" s="460"/>
      <c r="D211" s="232">
        <v>6</v>
      </c>
      <c r="E211" s="233" t="s">
        <v>127</v>
      </c>
      <c r="F211" s="476" t="s">
        <v>194</v>
      </c>
      <c r="G211" s="477"/>
    </row>
    <row r="212" spans="1:7" s="38" customFormat="1">
      <c r="B212" s="58"/>
      <c r="C212" s="460"/>
      <c r="D212" s="234">
        <v>7</v>
      </c>
      <c r="E212" s="233" t="s">
        <v>128</v>
      </c>
      <c r="F212" s="451"/>
      <c r="G212" s="452"/>
    </row>
    <row r="213" spans="1:7" s="38" customFormat="1" ht="38.25">
      <c r="B213" s="58"/>
      <c r="C213" s="460"/>
      <c r="D213" s="232">
        <v>8</v>
      </c>
      <c r="E213" s="233" t="s">
        <v>129</v>
      </c>
      <c r="F213" s="449" t="s">
        <v>135</v>
      </c>
      <c r="G213" s="450"/>
    </row>
    <row r="214" spans="1:7" s="38" customFormat="1" ht="25.5">
      <c r="B214" s="58"/>
      <c r="C214" s="460"/>
      <c r="D214" s="234">
        <v>9</v>
      </c>
      <c r="E214" s="233" t="s">
        <v>127</v>
      </c>
      <c r="F214" s="449" t="s">
        <v>136</v>
      </c>
      <c r="G214" s="450"/>
    </row>
    <row r="215" spans="1:7" s="38" customFormat="1">
      <c r="B215" s="58"/>
      <c r="C215" s="460"/>
      <c r="D215" s="232">
        <v>10</v>
      </c>
      <c r="E215" s="233" t="s">
        <v>130</v>
      </c>
      <c r="F215" s="235"/>
      <c r="G215" s="236"/>
    </row>
    <row r="216" spans="1:7" s="38" customFormat="1">
      <c r="B216" s="58"/>
      <c r="C216" s="460"/>
      <c r="D216" s="234">
        <v>11</v>
      </c>
      <c r="E216" s="233" t="s">
        <v>131</v>
      </c>
      <c r="F216" s="235"/>
      <c r="G216" s="236"/>
    </row>
    <row r="217" spans="1:7" s="38" customFormat="1" ht="25.5">
      <c r="B217" s="58"/>
      <c r="C217" s="460"/>
      <c r="D217" s="232">
        <v>12</v>
      </c>
      <c r="E217" s="233" t="s">
        <v>127</v>
      </c>
      <c r="F217" s="449" t="s">
        <v>137</v>
      </c>
      <c r="G217" s="450"/>
    </row>
    <row r="218" spans="1:7" s="38" customFormat="1">
      <c r="B218" s="58"/>
      <c r="C218" s="460"/>
      <c r="D218" s="234">
        <v>13</v>
      </c>
      <c r="E218" s="233" t="s">
        <v>132</v>
      </c>
      <c r="F218" s="237"/>
      <c r="G218" s="238"/>
    </row>
    <row r="219" spans="1:7" s="38" customFormat="1" ht="25.5">
      <c r="B219" s="58"/>
      <c r="C219" s="460"/>
      <c r="D219" s="232">
        <v>14</v>
      </c>
      <c r="E219" s="233" t="s">
        <v>133</v>
      </c>
      <c r="F219" s="237"/>
      <c r="G219" s="238"/>
    </row>
    <row r="220" spans="1:7" s="38" customFormat="1">
      <c r="B220" s="58"/>
      <c r="C220" s="460"/>
      <c r="D220" s="234">
        <v>15</v>
      </c>
      <c r="E220" s="233" t="s">
        <v>124</v>
      </c>
      <c r="F220" s="237"/>
      <c r="G220" s="238"/>
    </row>
    <row r="221" spans="1:7" s="38" customFormat="1" ht="25.5">
      <c r="B221" s="58"/>
      <c r="C221" s="460"/>
      <c r="D221" s="232">
        <v>16</v>
      </c>
      <c r="E221" s="233" t="s">
        <v>134</v>
      </c>
      <c r="F221" s="237" t="s">
        <v>138</v>
      </c>
      <c r="G221" s="238"/>
    </row>
    <row r="222" spans="1:7" s="39" customFormat="1">
      <c r="B222" s="62"/>
      <c r="C222" s="461"/>
      <c r="D222" s="239"/>
      <c r="E222" s="240"/>
      <c r="F222" s="445"/>
      <c r="G222" s="446"/>
    </row>
    <row r="223" spans="1:7" s="38" customFormat="1">
      <c r="B223" s="56"/>
      <c r="C223" s="249" t="str">
        <f>Summary!B29</f>
        <v>TC-402-003</v>
      </c>
      <c r="D223" s="453" t="str">
        <f>Summary!C29</f>
        <v>Verify reflecting paper information from RW into the print condition of running jobs.</v>
      </c>
      <c r="E223" s="453"/>
      <c r="F223" s="453"/>
      <c r="G223" s="453"/>
    </row>
    <row r="224" spans="1:7" s="38" customFormat="1" ht="109.5" customHeight="1">
      <c r="B224" s="58"/>
      <c r="C224" s="459"/>
      <c r="D224" s="227" t="s">
        <v>36</v>
      </c>
      <c r="E224" s="462" t="s">
        <v>140</v>
      </c>
      <c r="F224" s="463"/>
      <c r="G224" s="463"/>
    </row>
    <row r="225" spans="2:7" s="38" customFormat="1" ht="47.25" customHeight="1">
      <c r="B225" s="58"/>
      <c r="C225" s="460"/>
      <c r="D225" s="242"/>
      <c r="E225" s="243" t="s">
        <v>83</v>
      </c>
      <c r="F225" s="472"/>
      <c r="G225" s="473"/>
    </row>
    <row r="226" spans="2:7" s="38" customFormat="1" ht="25.5">
      <c r="B226" s="58"/>
      <c r="C226" s="460"/>
      <c r="D226" s="244">
        <v>1</v>
      </c>
      <c r="E226" s="233" t="s">
        <v>141</v>
      </c>
      <c r="F226" s="466"/>
      <c r="G226" s="467"/>
    </row>
    <row r="227" spans="2:7" s="38" customFormat="1">
      <c r="B227" s="58"/>
      <c r="C227" s="460"/>
      <c r="D227" s="232">
        <v>2</v>
      </c>
      <c r="E227" s="233" t="s">
        <v>142</v>
      </c>
      <c r="F227" s="447"/>
      <c r="G227" s="448"/>
    </row>
    <row r="228" spans="2:7" s="38" customFormat="1" ht="62.25" customHeight="1">
      <c r="B228" s="58"/>
      <c r="C228" s="460"/>
      <c r="D228" s="234">
        <v>3</v>
      </c>
      <c r="E228" s="233" t="s">
        <v>143</v>
      </c>
      <c r="F228" s="449" t="s">
        <v>244</v>
      </c>
      <c r="G228" s="450"/>
    </row>
    <row r="229" spans="2:7" s="38" customFormat="1" ht="25.5">
      <c r="B229" s="58"/>
      <c r="C229" s="460"/>
      <c r="D229" s="232">
        <v>4</v>
      </c>
      <c r="E229" s="233" t="s">
        <v>144</v>
      </c>
      <c r="F229" s="449" t="s">
        <v>162</v>
      </c>
      <c r="G229" s="450"/>
    </row>
    <row r="230" spans="2:7" s="38" customFormat="1" ht="25.5">
      <c r="B230" s="58"/>
      <c r="C230" s="460"/>
      <c r="D230" s="234">
        <v>5</v>
      </c>
      <c r="E230" s="233" t="s">
        <v>145</v>
      </c>
      <c r="F230" s="449" t="s">
        <v>163</v>
      </c>
      <c r="G230" s="450"/>
    </row>
    <row r="231" spans="2:7" s="38" customFormat="1" ht="25.5">
      <c r="B231" s="58"/>
      <c r="C231" s="460"/>
      <c r="D231" s="232">
        <v>6</v>
      </c>
      <c r="E231" s="233" t="s">
        <v>146</v>
      </c>
      <c r="F231" s="470"/>
      <c r="G231" s="471"/>
    </row>
    <row r="232" spans="2:7" s="38" customFormat="1">
      <c r="B232" s="58"/>
      <c r="C232" s="460"/>
      <c r="D232" s="234">
        <v>7</v>
      </c>
      <c r="E232" s="233" t="s">
        <v>147</v>
      </c>
      <c r="F232" s="245"/>
      <c r="G232" s="246"/>
    </row>
    <row r="233" spans="2:7" s="38" customFormat="1" ht="25.5">
      <c r="B233" s="58"/>
      <c r="C233" s="460"/>
      <c r="D233" s="232">
        <v>8</v>
      </c>
      <c r="E233" s="233" t="s">
        <v>148</v>
      </c>
      <c r="F233" s="449" t="s">
        <v>164</v>
      </c>
      <c r="G233" s="450"/>
    </row>
    <row r="234" spans="2:7" s="38" customFormat="1">
      <c r="B234" s="58"/>
      <c r="C234" s="460"/>
      <c r="D234" s="234">
        <v>9</v>
      </c>
      <c r="E234" s="233" t="s">
        <v>149</v>
      </c>
      <c r="F234" s="470"/>
      <c r="G234" s="471"/>
    </row>
    <row r="235" spans="2:7" s="38" customFormat="1" ht="25.5">
      <c r="B235" s="58"/>
      <c r="C235" s="460"/>
      <c r="D235" s="232">
        <v>10</v>
      </c>
      <c r="E235" s="233" t="s">
        <v>145</v>
      </c>
      <c r="F235" s="449" t="s">
        <v>165</v>
      </c>
      <c r="G235" s="450"/>
    </row>
    <row r="236" spans="2:7" s="38" customFormat="1" ht="51">
      <c r="B236" s="58"/>
      <c r="C236" s="460"/>
      <c r="D236" s="234">
        <v>11</v>
      </c>
      <c r="E236" s="233" t="s">
        <v>245</v>
      </c>
      <c r="F236" s="245"/>
      <c r="G236" s="246"/>
    </row>
    <row r="237" spans="2:7" s="38" customFormat="1" ht="25.5">
      <c r="B237" s="58"/>
      <c r="C237" s="460"/>
      <c r="D237" s="232">
        <v>12</v>
      </c>
      <c r="E237" s="233" t="s">
        <v>150</v>
      </c>
      <c r="F237" s="470"/>
      <c r="G237" s="471"/>
    </row>
    <row r="238" spans="2:7" s="38" customFormat="1" ht="60.75" customHeight="1">
      <c r="B238" s="58"/>
      <c r="C238" s="460"/>
      <c r="D238" s="234">
        <v>13</v>
      </c>
      <c r="E238" s="233" t="s">
        <v>151</v>
      </c>
      <c r="F238" s="449" t="s">
        <v>246</v>
      </c>
      <c r="G238" s="450"/>
    </row>
    <row r="239" spans="2:7" s="38" customFormat="1" ht="25.5">
      <c r="B239" s="58"/>
      <c r="C239" s="460"/>
      <c r="D239" s="232">
        <v>14</v>
      </c>
      <c r="E239" s="233" t="s">
        <v>144</v>
      </c>
      <c r="F239" s="449" t="s">
        <v>166</v>
      </c>
      <c r="G239" s="450"/>
    </row>
    <row r="240" spans="2:7" s="38" customFormat="1" ht="25.5">
      <c r="B240" s="58"/>
      <c r="C240" s="460"/>
      <c r="D240" s="234">
        <v>15</v>
      </c>
      <c r="E240" s="233" t="s">
        <v>152</v>
      </c>
      <c r="F240" s="449" t="s">
        <v>167</v>
      </c>
      <c r="G240" s="450"/>
    </row>
    <row r="241" spans="1:7" s="38" customFormat="1">
      <c r="B241" s="58"/>
      <c r="C241" s="460"/>
      <c r="D241" s="232">
        <v>16</v>
      </c>
      <c r="E241" s="233" t="s">
        <v>153</v>
      </c>
      <c r="F241" s="245"/>
      <c r="G241" s="246"/>
    </row>
    <row r="242" spans="1:7" s="38" customFormat="1" ht="25.5">
      <c r="B242" s="58"/>
      <c r="C242" s="460"/>
      <c r="D242" s="234">
        <v>17</v>
      </c>
      <c r="E242" s="233" t="s">
        <v>154</v>
      </c>
      <c r="F242" s="449" t="s">
        <v>168</v>
      </c>
      <c r="G242" s="450"/>
    </row>
    <row r="243" spans="1:7" s="38" customFormat="1">
      <c r="B243" s="58"/>
      <c r="C243" s="460"/>
      <c r="D243" s="232">
        <v>18</v>
      </c>
      <c r="E243" s="233" t="s">
        <v>155</v>
      </c>
      <c r="F243" s="470"/>
      <c r="G243" s="471"/>
    </row>
    <row r="244" spans="1:7" s="38" customFormat="1" ht="25.5">
      <c r="B244" s="58"/>
      <c r="C244" s="460"/>
      <c r="D244" s="234">
        <v>19</v>
      </c>
      <c r="E244" s="233" t="s">
        <v>152</v>
      </c>
      <c r="F244" s="449" t="s">
        <v>169</v>
      </c>
      <c r="G244" s="450"/>
    </row>
    <row r="245" spans="1:7" s="38" customFormat="1">
      <c r="B245" s="58"/>
      <c r="C245" s="460"/>
      <c r="D245" s="232">
        <v>20</v>
      </c>
      <c r="E245" s="233" t="s">
        <v>156</v>
      </c>
      <c r="F245" s="237"/>
      <c r="G245" s="238"/>
    </row>
    <row r="246" spans="1:7" s="38" customFormat="1">
      <c r="B246" s="58"/>
      <c r="C246" s="460"/>
      <c r="D246" s="234">
        <v>21</v>
      </c>
      <c r="E246" s="233" t="s">
        <v>142</v>
      </c>
      <c r="F246" s="237"/>
      <c r="G246" s="238"/>
    </row>
    <row r="247" spans="1:7" s="38" customFormat="1" ht="25.5">
      <c r="B247" s="58"/>
      <c r="C247" s="460"/>
      <c r="D247" s="232">
        <v>22</v>
      </c>
      <c r="E247" s="233" t="s">
        <v>157</v>
      </c>
      <c r="F247" s="237" t="s">
        <v>170</v>
      </c>
      <c r="G247" s="238"/>
    </row>
    <row r="248" spans="1:7" s="38" customFormat="1">
      <c r="B248" s="58"/>
      <c r="C248" s="460"/>
      <c r="D248" s="234">
        <v>23</v>
      </c>
      <c r="E248" s="233" t="s">
        <v>158</v>
      </c>
      <c r="F248" s="449" t="s">
        <v>171</v>
      </c>
      <c r="G248" s="450"/>
    </row>
    <row r="249" spans="1:7" s="38" customFormat="1" ht="25.5">
      <c r="B249" s="58"/>
      <c r="C249" s="460"/>
      <c r="D249" s="232">
        <v>24</v>
      </c>
      <c r="E249" s="233" t="s">
        <v>159</v>
      </c>
      <c r="F249" s="237"/>
      <c r="G249" s="238"/>
    </row>
    <row r="250" spans="1:7" s="38" customFormat="1" ht="25.5">
      <c r="B250" s="58"/>
      <c r="C250" s="460"/>
      <c r="D250" s="234">
        <v>25</v>
      </c>
      <c r="E250" s="233" t="s">
        <v>160</v>
      </c>
      <c r="F250" s="237"/>
      <c r="G250" s="238"/>
    </row>
    <row r="251" spans="1:7" s="38" customFormat="1" ht="25.5">
      <c r="B251" s="58"/>
      <c r="C251" s="460"/>
      <c r="D251" s="232">
        <v>26</v>
      </c>
      <c r="E251" s="233" t="s">
        <v>157</v>
      </c>
      <c r="F251" s="237" t="s">
        <v>170</v>
      </c>
      <c r="G251" s="238"/>
    </row>
    <row r="252" spans="1:7" s="38" customFormat="1">
      <c r="B252" s="58"/>
      <c r="C252" s="460"/>
      <c r="D252" s="234">
        <v>27</v>
      </c>
      <c r="E252" s="233" t="s">
        <v>161</v>
      </c>
      <c r="F252" s="449" t="s">
        <v>168</v>
      </c>
      <c r="G252" s="450"/>
    </row>
    <row r="253" spans="1:7" s="39" customFormat="1">
      <c r="B253" s="62"/>
      <c r="C253" s="461"/>
      <c r="D253" s="239"/>
      <c r="E253" s="240"/>
      <c r="F253" s="445"/>
      <c r="G253" s="446"/>
    </row>
    <row r="254" spans="1:7" s="38" customFormat="1">
      <c r="B254" s="56"/>
      <c r="C254" s="249" t="str">
        <f>Summary!B30</f>
        <v>TC-402-004</v>
      </c>
      <c r="D254" s="453" t="str">
        <f>Summary!C30</f>
        <v>Verify reflecting paper information from RW into the job files of running jobs.</v>
      </c>
      <c r="E254" s="453"/>
      <c r="F254" s="453"/>
      <c r="G254" s="453"/>
    </row>
    <row r="255" spans="1:7" s="38" customFormat="1" ht="108" customHeight="1">
      <c r="B255" s="58"/>
      <c r="C255" s="459"/>
      <c r="D255" s="227" t="s">
        <v>36</v>
      </c>
      <c r="E255" s="462" t="s">
        <v>140</v>
      </c>
      <c r="F255" s="463"/>
      <c r="G255" s="463"/>
    </row>
    <row r="256" spans="1:7" s="38" customFormat="1" ht="48.75" customHeight="1">
      <c r="B256" s="58"/>
      <c r="C256" s="460"/>
      <c r="D256" s="247"/>
      <c r="E256" s="248" t="s">
        <v>83</v>
      </c>
      <c r="F256" s="464"/>
      <c r="G256" s="465"/>
    </row>
    <row r="257" spans="2:7" s="38" customFormat="1" ht="25.5">
      <c r="B257" s="58"/>
      <c r="C257" s="460"/>
      <c r="D257" s="244">
        <v>1</v>
      </c>
      <c r="E257" s="233" t="s">
        <v>141</v>
      </c>
      <c r="F257" s="466"/>
      <c r="G257" s="467"/>
    </row>
    <row r="258" spans="2:7" s="38" customFormat="1">
      <c r="B258" s="58"/>
      <c r="C258" s="460"/>
      <c r="D258" s="232">
        <v>2</v>
      </c>
      <c r="E258" s="233" t="s">
        <v>142</v>
      </c>
      <c r="F258" s="447"/>
      <c r="G258" s="448"/>
    </row>
    <row r="259" spans="2:7" s="38" customFormat="1" ht="45.75" customHeight="1">
      <c r="B259" s="58"/>
      <c r="C259" s="460"/>
      <c r="D259" s="234">
        <v>3</v>
      </c>
      <c r="E259" s="233" t="s">
        <v>143</v>
      </c>
      <c r="F259" s="449" t="s">
        <v>247</v>
      </c>
      <c r="G259" s="450"/>
    </row>
    <row r="260" spans="2:7" s="38" customFormat="1" ht="25.5">
      <c r="B260" s="58"/>
      <c r="C260" s="460"/>
      <c r="D260" s="232">
        <v>4</v>
      </c>
      <c r="E260" s="233" t="s">
        <v>144</v>
      </c>
      <c r="F260" s="449" t="s">
        <v>162</v>
      </c>
      <c r="G260" s="450"/>
    </row>
    <row r="261" spans="2:7" s="38" customFormat="1" ht="38.25">
      <c r="B261" s="58"/>
      <c r="C261" s="460"/>
      <c r="D261" s="234">
        <v>5</v>
      </c>
      <c r="E261" s="233" t="s">
        <v>172</v>
      </c>
      <c r="F261" s="449" t="s">
        <v>177</v>
      </c>
      <c r="G261" s="450"/>
    </row>
    <row r="262" spans="2:7" s="38" customFormat="1">
      <c r="B262" s="58"/>
      <c r="C262" s="460"/>
      <c r="D262" s="232">
        <v>6</v>
      </c>
      <c r="E262" s="233" t="s">
        <v>173</v>
      </c>
      <c r="F262" s="470"/>
      <c r="G262" s="471"/>
    </row>
    <row r="263" spans="2:7" s="38" customFormat="1" ht="38.25">
      <c r="B263" s="58"/>
      <c r="C263" s="460"/>
      <c r="D263" s="234">
        <v>7</v>
      </c>
      <c r="E263" s="233" t="s">
        <v>174</v>
      </c>
      <c r="F263" s="449" t="s">
        <v>178</v>
      </c>
      <c r="G263" s="450"/>
    </row>
    <row r="264" spans="2:7" s="38" customFormat="1" ht="51">
      <c r="B264" s="58"/>
      <c r="C264" s="460"/>
      <c r="D264" s="232">
        <v>8</v>
      </c>
      <c r="E264" s="233" t="s">
        <v>175</v>
      </c>
      <c r="F264" s="245"/>
      <c r="G264" s="246"/>
    </row>
    <row r="265" spans="2:7" s="38" customFormat="1" ht="25.5">
      <c r="B265" s="58"/>
      <c r="C265" s="460"/>
      <c r="D265" s="234">
        <v>9</v>
      </c>
      <c r="E265" s="233" t="s">
        <v>150</v>
      </c>
      <c r="F265" s="470"/>
      <c r="G265" s="471"/>
    </row>
    <row r="266" spans="2:7" s="38" customFormat="1" ht="55.5" customHeight="1">
      <c r="B266" s="58"/>
      <c r="C266" s="460"/>
      <c r="D266" s="232">
        <v>10</v>
      </c>
      <c r="E266" s="233" t="s">
        <v>151</v>
      </c>
      <c r="F266" s="449" t="s">
        <v>246</v>
      </c>
      <c r="G266" s="450"/>
    </row>
    <row r="267" spans="2:7" s="38" customFormat="1" ht="25.5">
      <c r="B267" s="58"/>
      <c r="C267" s="460"/>
      <c r="D267" s="234">
        <v>11</v>
      </c>
      <c r="E267" s="233" t="s">
        <v>144</v>
      </c>
      <c r="F267" s="449" t="s">
        <v>166</v>
      </c>
      <c r="G267" s="450"/>
    </row>
    <row r="268" spans="2:7" s="38" customFormat="1" ht="38.25">
      <c r="B268" s="58"/>
      <c r="C268" s="460"/>
      <c r="D268" s="232">
        <v>12</v>
      </c>
      <c r="E268" s="233" t="s">
        <v>176</v>
      </c>
      <c r="F268" s="449" t="s">
        <v>179</v>
      </c>
      <c r="G268" s="450"/>
    </row>
    <row r="269" spans="2:7" s="38" customFormat="1">
      <c r="B269" s="58"/>
      <c r="C269" s="460"/>
      <c r="D269" s="234">
        <v>13</v>
      </c>
      <c r="E269" s="233" t="s">
        <v>173</v>
      </c>
      <c r="F269" s="470"/>
      <c r="G269" s="471"/>
    </row>
    <row r="270" spans="2:7" s="38" customFormat="1" ht="38.25">
      <c r="B270" s="58"/>
      <c r="C270" s="460"/>
      <c r="D270" s="232">
        <v>14</v>
      </c>
      <c r="E270" s="233" t="s">
        <v>174</v>
      </c>
      <c r="F270" s="449" t="s">
        <v>180</v>
      </c>
      <c r="G270" s="450"/>
    </row>
    <row r="271" spans="2:7" s="39" customFormat="1">
      <c r="B271" s="62"/>
      <c r="C271" s="461"/>
      <c r="D271" s="225"/>
      <c r="E271" s="226"/>
      <c r="F271" s="468"/>
      <c r="G271" s="469"/>
    </row>
  </sheetData>
  <sheetProtection selectLockedCells="1" selectUnlockedCells="1"/>
  <mergeCells count="237">
    <mergeCell ref="F63:G63"/>
    <mergeCell ref="F69:G69"/>
    <mergeCell ref="F87:G87"/>
    <mergeCell ref="F104:G104"/>
    <mergeCell ref="F133:G133"/>
    <mergeCell ref="F199:G199"/>
    <mergeCell ref="F147:G147"/>
    <mergeCell ref="F161:G161"/>
    <mergeCell ref="F120:G120"/>
    <mergeCell ref="F108:G108"/>
    <mergeCell ref="F267:G267"/>
    <mergeCell ref="F233:G233"/>
    <mergeCell ref="F234:G234"/>
    <mergeCell ref="F235:G235"/>
    <mergeCell ref="F243:G243"/>
    <mergeCell ref="F244:G244"/>
    <mergeCell ref="F230:G230"/>
    <mergeCell ref="F231:G231"/>
    <mergeCell ref="F242:G242"/>
    <mergeCell ref="F268:G268"/>
    <mergeCell ref="F269:G269"/>
    <mergeCell ref="F258:G258"/>
    <mergeCell ref="F259:G259"/>
    <mergeCell ref="F260:G260"/>
    <mergeCell ref="F261:G261"/>
    <mergeCell ref="F262:G262"/>
    <mergeCell ref="D109:G109"/>
    <mergeCell ref="F117:G117"/>
    <mergeCell ref="F248:G248"/>
    <mergeCell ref="F237:G237"/>
    <mergeCell ref="F238:G238"/>
    <mergeCell ref="F239:G239"/>
    <mergeCell ref="F240:G240"/>
    <mergeCell ref="D121:G121"/>
    <mergeCell ref="D130:G130"/>
    <mergeCell ref="D166:G166"/>
    <mergeCell ref="C110:C120"/>
    <mergeCell ref="E110:G110"/>
    <mergeCell ref="F113:G113"/>
    <mergeCell ref="F114:G114"/>
    <mergeCell ref="F115:G115"/>
    <mergeCell ref="F101:G101"/>
    <mergeCell ref="D102:G102"/>
    <mergeCell ref="F116:G116"/>
    <mergeCell ref="F118:G118"/>
    <mergeCell ref="F119:G119"/>
    <mergeCell ref="C103:C108"/>
    <mergeCell ref="E103:G103"/>
    <mergeCell ref="F105:G105"/>
    <mergeCell ref="F106:G106"/>
    <mergeCell ref="F107:G107"/>
    <mergeCell ref="F83:G83"/>
    <mergeCell ref="D84:G84"/>
    <mergeCell ref="F95:G95"/>
    <mergeCell ref="F96:G96"/>
    <mergeCell ref="C85:C101"/>
    <mergeCell ref="F74:G74"/>
    <mergeCell ref="D75:G75"/>
    <mergeCell ref="F79:G79"/>
    <mergeCell ref="F80:G80"/>
    <mergeCell ref="F81:G81"/>
    <mergeCell ref="F82:G82"/>
    <mergeCell ref="C76:C83"/>
    <mergeCell ref="E76:G76"/>
    <mergeCell ref="F78:G78"/>
    <mergeCell ref="F25:G25"/>
    <mergeCell ref="F28:G28"/>
    <mergeCell ref="F27:G27"/>
    <mergeCell ref="D59:G59"/>
    <mergeCell ref="C60:C74"/>
    <mergeCell ref="E60:G60"/>
    <mergeCell ref="F70:G70"/>
    <mergeCell ref="F17:G17"/>
    <mergeCell ref="F18:G18"/>
    <mergeCell ref="F20:G20"/>
    <mergeCell ref="F23:G23"/>
    <mergeCell ref="D50:G50"/>
    <mergeCell ref="D30:G30"/>
    <mergeCell ref="F29:G29"/>
    <mergeCell ref="F38:G38"/>
    <mergeCell ref="D44:G44"/>
    <mergeCell ref="F33:G33"/>
    <mergeCell ref="C51:C58"/>
    <mergeCell ref="E51:G51"/>
    <mergeCell ref="F54:G54"/>
    <mergeCell ref="F55:G55"/>
    <mergeCell ref="F56:G56"/>
    <mergeCell ref="F57:G57"/>
    <mergeCell ref="F58:G58"/>
    <mergeCell ref="D6:E6"/>
    <mergeCell ref="F6:G6"/>
    <mergeCell ref="D7:G7"/>
    <mergeCell ref="C8:C29"/>
    <mergeCell ref="E8:G8"/>
    <mergeCell ref="F10:G10"/>
    <mergeCell ref="F11:G11"/>
    <mergeCell ref="F12:G12"/>
    <mergeCell ref="F13:G13"/>
    <mergeCell ref="F15:G15"/>
    <mergeCell ref="F62:G62"/>
    <mergeCell ref="F64:G64"/>
    <mergeCell ref="F65:G65"/>
    <mergeCell ref="F66:G66"/>
    <mergeCell ref="F67:G67"/>
    <mergeCell ref="F98:G98"/>
    <mergeCell ref="E85:G85"/>
    <mergeCell ref="F88:G88"/>
    <mergeCell ref="F72:G72"/>
    <mergeCell ref="F73:G73"/>
    <mergeCell ref="F100:G100"/>
    <mergeCell ref="F89:G89"/>
    <mergeCell ref="F90:G90"/>
    <mergeCell ref="F91:G91"/>
    <mergeCell ref="F92:G92"/>
    <mergeCell ref="F94:G94"/>
    <mergeCell ref="C122:C129"/>
    <mergeCell ref="E122:G122"/>
    <mergeCell ref="F125:G125"/>
    <mergeCell ref="F126:G126"/>
    <mergeCell ref="F127:G127"/>
    <mergeCell ref="F128:G128"/>
    <mergeCell ref="F129:G129"/>
    <mergeCell ref="F123:G123"/>
    <mergeCell ref="C131:C143"/>
    <mergeCell ref="E131:G131"/>
    <mergeCell ref="F132:G132"/>
    <mergeCell ref="F134:G134"/>
    <mergeCell ref="F135:G135"/>
    <mergeCell ref="F141:G141"/>
    <mergeCell ref="F142:G142"/>
    <mergeCell ref="F143:G143"/>
    <mergeCell ref="F136:G136"/>
    <mergeCell ref="C145:C165"/>
    <mergeCell ref="E145:G145"/>
    <mergeCell ref="F146:G146"/>
    <mergeCell ref="F148:G148"/>
    <mergeCell ref="F163:G163"/>
    <mergeCell ref="F164:G164"/>
    <mergeCell ref="F165:G165"/>
    <mergeCell ref="F155:G155"/>
    <mergeCell ref="F153:G153"/>
    <mergeCell ref="F156:G156"/>
    <mergeCell ref="C167:C188"/>
    <mergeCell ref="E167:G167"/>
    <mergeCell ref="F168:G168"/>
    <mergeCell ref="F169:G169"/>
    <mergeCell ref="F170:G170"/>
    <mergeCell ref="F171:G171"/>
    <mergeCell ref="F172:G172"/>
    <mergeCell ref="F173:G173"/>
    <mergeCell ref="F174:G174"/>
    <mergeCell ref="F175:G175"/>
    <mergeCell ref="F176:G176"/>
    <mergeCell ref="F177:G177"/>
    <mergeCell ref="F179:G179"/>
    <mergeCell ref="F180:G180"/>
    <mergeCell ref="F184:G184"/>
    <mergeCell ref="F187:G187"/>
    <mergeCell ref="C197:C202"/>
    <mergeCell ref="E197:G197"/>
    <mergeCell ref="F198:G198"/>
    <mergeCell ref="F200:G200"/>
    <mergeCell ref="F201:G201"/>
    <mergeCell ref="F202:G202"/>
    <mergeCell ref="C204:C222"/>
    <mergeCell ref="E204:G204"/>
    <mergeCell ref="F205:G205"/>
    <mergeCell ref="F206:G206"/>
    <mergeCell ref="F222:G222"/>
    <mergeCell ref="F211:G211"/>
    <mergeCell ref="F212:G212"/>
    <mergeCell ref="F213:G213"/>
    <mergeCell ref="F214:G214"/>
    <mergeCell ref="F217:G217"/>
    <mergeCell ref="D223:G223"/>
    <mergeCell ref="C224:C253"/>
    <mergeCell ref="E224:G224"/>
    <mergeCell ref="F225:G225"/>
    <mergeCell ref="F226:G226"/>
    <mergeCell ref="F252:G252"/>
    <mergeCell ref="F253:G253"/>
    <mergeCell ref="F227:G227"/>
    <mergeCell ref="F228:G228"/>
    <mergeCell ref="F229:G229"/>
    <mergeCell ref="F270:G270"/>
    <mergeCell ref="D254:G254"/>
    <mergeCell ref="C255:C271"/>
    <mergeCell ref="E255:G255"/>
    <mergeCell ref="F256:G256"/>
    <mergeCell ref="F257:G257"/>
    <mergeCell ref="F271:G271"/>
    <mergeCell ref="F263:G263"/>
    <mergeCell ref="F265:G265"/>
    <mergeCell ref="F266:G266"/>
    <mergeCell ref="C190:C195"/>
    <mergeCell ref="F140:G140"/>
    <mergeCell ref="F158:G158"/>
    <mergeCell ref="F159:G159"/>
    <mergeCell ref="F149:G149"/>
    <mergeCell ref="F150:G150"/>
    <mergeCell ref="F151:G151"/>
    <mergeCell ref="F152:G152"/>
    <mergeCell ref="D144:G144"/>
    <mergeCell ref="F185:G185"/>
    <mergeCell ref="F207:G207"/>
    <mergeCell ref="F208:G208"/>
    <mergeCell ref="F209:G209"/>
    <mergeCell ref="F210:G210"/>
    <mergeCell ref="F195:G195"/>
    <mergeCell ref="D203:G203"/>
    <mergeCell ref="D196:G196"/>
    <mergeCell ref="E190:G190"/>
    <mergeCell ref="F192:G192"/>
    <mergeCell ref="F193:G193"/>
    <mergeCell ref="F194:G194"/>
    <mergeCell ref="F154:G154"/>
    <mergeCell ref="F137:G137"/>
    <mergeCell ref="F138:G138"/>
    <mergeCell ref="F139:G139"/>
    <mergeCell ref="D189:G189"/>
    <mergeCell ref="F188:G188"/>
    <mergeCell ref="C31:C43"/>
    <mergeCell ref="E31:G31"/>
    <mergeCell ref="F35:G35"/>
    <mergeCell ref="F36:G36"/>
    <mergeCell ref="F37:G37"/>
    <mergeCell ref="F39:G39"/>
    <mergeCell ref="F42:G42"/>
    <mergeCell ref="F43:G43"/>
    <mergeCell ref="F34:G34"/>
    <mergeCell ref="F41:G41"/>
    <mergeCell ref="C45:C49"/>
    <mergeCell ref="E45:G45"/>
    <mergeCell ref="F46:G46"/>
    <mergeCell ref="F47:G47"/>
    <mergeCell ref="F48:G48"/>
    <mergeCell ref="F49:G49"/>
  </mergeCells>
  <hyperlinks>
    <hyperlink ref="F4" location="Summary!A1" display="Return to Summary Sheet"/>
    <hyperlink ref="F201:G201" location="'Test Data'!A5" display="Refer to TD-002"/>
    <hyperlink ref="F211:G211" location="'Test Data'!A7" display="Refer to TD-003"/>
    <hyperlink ref="F48:G48" location="'Test Data'!A2" display="- Refer to TD-001"/>
    <hyperlink ref="F177:G177" location="'Test Data'!A9" display="- Refer to TD-004"/>
    <hyperlink ref="F187:G187" location="'Test Data'!A11" display="- Refer to TD-005"/>
    <hyperlink ref="F33:G33" location="'Test Data'!A16" display="- Refer to TD-006"/>
    <hyperlink ref="F37:G37" location="'Test Data'!A16" display="- Refer to TD-006"/>
    <hyperlink ref="F42:G42" location="'Test Data'!A16" display="- Refer to TD-006"/>
    <hyperlink ref="F57:G57" location="'Test Data'!A17" display="- Refer to TD-007"/>
    <hyperlink ref="F67:G67" location="'Test Data'!A20" display="- Refer to TD-008"/>
    <hyperlink ref="F70:G70" location="'Test Data'!A20" display="- Refer to TD-008"/>
    <hyperlink ref="F82:G82" location="'Test Data'!A20" display="Refer to TD-008"/>
    <hyperlink ref="F92:G92" location="'Test Data'!A23" display="- Refer to TD-009"/>
    <hyperlink ref="F96:G96" location="'Test Data'!A23" display="'Test Data'!A23"/>
    <hyperlink ref="F107:G107" location="'Test Data'!A26" display="'Test Data'!A26"/>
    <hyperlink ref="F119:G119" location="'Test Data'!A26" display="- Refer to TD-010"/>
    <hyperlink ref="F128:G128" location="'Test Data'!A26" display="- Refer to TD-010"/>
    <hyperlink ref="F142:G142" location="'Test Data'!A29" display="- Refer to TD-011."/>
    <hyperlink ref="F152:G152" location="'Test Data'!A32" display="- Refer to TD-012"/>
    <hyperlink ref="F159:G159" location="'Test Data'!A32" display="- Refer to TD-012"/>
    <hyperlink ref="F164:G164" location="'Test Data'!A32" display="- Refer to TD-012"/>
    <hyperlink ref="F48" location="'Test Data'!A2" display="'Test Data'!A2"/>
    <hyperlink ref="F201" location="'Test Data'!A5" display="'Test Data'!A5"/>
    <hyperlink ref="F211" location="'Test Data'!A8" display="'Test Data'!A8"/>
    <hyperlink ref="F177" location="'Test Data'!A10" display="'Test Data'!A10"/>
    <hyperlink ref="F187" location="'Test Data'!A12" display="'Test Data'!A12"/>
    <hyperlink ref="F33" location="'Test Data'!A14" display="'Test Data'!A14"/>
    <hyperlink ref="F37" location="'Test Data'!A14" display="'Test Data'!A14"/>
    <hyperlink ref="F42" location="'Test Data'!A14" display="'Test Data'!A14"/>
    <hyperlink ref="F57" location="'Test Data'!A17" display="'Test Data'!A17"/>
    <hyperlink ref="F67" location="'Test Data'!A20" display="'Test Data'!A20"/>
    <hyperlink ref="F70" location="'Test Data'!A20" display="'Test Data'!A20"/>
    <hyperlink ref="F82" location="'Test Data'!A20" display="'Test Data'!A20"/>
    <hyperlink ref="F92" location="'Test Data'!A23" display="'Test Data'!A23"/>
    <hyperlink ref="F96" location="'Test Data'!A23" display="'Test Data'!A23"/>
    <hyperlink ref="F107" location="'Test Data'!A26" display="'Test Data'!A26"/>
    <hyperlink ref="F119" location="'Test Data'!A26" display="'Test Data'!A26"/>
    <hyperlink ref="F128" location="'Test Data'!A26" display="'Test Data'!A26"/>
    <hyperlink ref="F194" location="'Test Data'!A26" display="'Test Data'!A26"/>
    <hyperlink ref="F142" location="'Test Data'!A29" display="'Test Data'!A29"/>
    <hyperlink ref="F152" location="'Test Data'!A32" display="'Test Data'!A32"/>
    <hyperlink ref="F159" location="'Test Data'!A32" display="'Test Data'!A32"/>
    <hyperlink ref="F164" location="'Test Data'!A32" display="'Test Data'!A32"/>
  </hyperlinks>
  <pageMargins left="0.5" right="0.5" top="0.5" bottom="0.5" header="0.51" footer="0.51"/>
  <pageSetup paperSize="9" scale="81" fitToHeight="0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11" r:id="rId4" name="btnCollapse">
          <controlPr defaultSize="0" altText="" r:id="rId5">
            <anchor moveWithCells="1" sizeWithCells="1">
              <from>
                <xdr:col>4</xdr:col>
                <xdr:colOff>4086225</xdr:colOff>
                <xdr:row>2</xdr:row>
                <xdr:rowOff>400050</xdr:rowOff>
              </from>
              <to>
                <xdr:col>4</xdr:col>
                <xdr:colOff>6010275</xdr:colOff>
                <xdr:row>4</xdr:row>
                <xdr:rowOff>142875</xdr:rowOff>
              </to>
            </anchor>
          </controlPr>
        </control>
      </mc:Choice>
      <mc:Fallback>
        <control shapeId="4111" r:id="rId4" name="btnCollapse"/>
      </mc:Fallback>
    </mc:AlternateContent>
    <mc:AlternateContent xmlns:mc="http://schemas.openxmlformats.org/markup-compatibility/2006">
      <mc:Choice Requires="x14">
        <control shapeId="4110" r:id="rId6" name="btnExpand">
          <controlPr defaultSize="0" altText="" r:id="rId7">
            <anchor moveWithCells="1" sizeWithCells="1">
              <from>
                <xdr:col>4</xdr:col>
                <xdr:colOff>2124075</xdr:colOff>
                <xdr:row>3</xdr:row>
                <xdr:rowOff>0</xdr:rowOff>
              </from>
              <to>
                <xdr:col>4</xdr:col>
                <xdr:colOff>4000500</xdr:colOff>
                <xdr:row>4</xdr:row>
                <xdr:rowOff>171450</xdr:rowOff>
              </to>
            </anchor>
          </controlPr>
        </control>
      </mc:Choice>
      <mc:Fallback>
        <control shapeId="4110" r:id="rId6" name="btnExpand"/>
      </mc:Fallback>
    </mc:AlternateContent>
    <mc:AlternateContent xmlns:mc="http://schemas.openxmlformats.org/markup-compatibility/2006">
      <mc:Choice Requires="x14">
        <control shapeId="4109" r:id="rId8" name="btnAddTC">
          <controlPr defaultSize="0" altText="" r:id="rId9">
            <anchor moveWithCells="1" sizeWithCells="1">
              <from>
                <xdr:col>4</xdr:col>
                <xdr:colOff>38100</xdr:colOff>
                <xdr:row>3</xdr:row>
                <xdr:rowOff>0</xdr:rowOff>
              </from>
              <to>
                <xdr:col>4</xdr:col>
                <xdr:colOff>1962150</xdr:colOff>
                <xdr:row>4</xdr:row>
                <xdr:rowOff>171450</xdr:rowOff>
              </to>
            </anchor>
          </controlPr>
        </control>
      </mc:Choice>
      <mc:Fallback>
        <control shapeId="4109" r:id="rId8" name="btnAddTC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F34"/>
  <sheetViews>
    <sheetView zoomScaleNormal="100" workbookViewId="0"/>
  </sheetViews>
  <sheetFormatPr defaultColWidth="3.85546875" defaultRowHeight="12.75"/>
  <cols>
    <col min="1" max="1" width="21" customWidth="1"/>
    <col min="2" max="2" width="61.7109375" customWidth="1"/>
    <col min="3" max="3" width="69" customWidth="1"/>
    <col min="4" max="4" width="78.85546875" customWidth="1"/>
    <col min="5" max="5" width="29.85546875" customWidth="1"/>
  </cols>
  <sheetData>
    <row r="1" spans="1:6" ht="22.5" customHeight="1">
      <c r="A1" s="211" t="s">
        <v>51</v>
      </c>
      <c r="B1" s="212" t="s">
        <v>217</v>
      </c>
      <c r="C1" s="139" t="s">
        <v>216</v>
      </c>
      <c r="D1" s="139" t="s">
        <v>35</v>
      </c>
      <c r="E1" s="140" t="s">
        <v>28</v>
      </c>
    </row>
    <row r="2" spans="1:6" ht="32.25" customHeight="1">
      <c r="A2" s="567" t="s">
        <v>195</v>
      </c>
      <c r="B2" s="562" t="s">
        <v>196</v>
      </c>
      <c r="C2" s="196" t="s">
        <v>347</v>
      </c>
      <c r="D2" s="562" t="s">
        <v>197</v>
      </c>
      <c r="E2" s="198"/>
    </row>
    <row r="3" spans="1:6" ht="36" customHeight="1">
      <c r="A3" s="567"/>
      <c r="B3" s="563"/>
      <c r="C3" s="197" t="s">
        <v>345</v>
      </c>
      <c r="D3" s="563"/>
      <c r="E3" s="200"/>
    </row>
    <row r="4" spans="1:6" ht="36.75" customHeight="1">
      <c r="A4" s="568"/>
      <c r="B4" s="564"/>
      <c r="C4" s="194" t="s">
        <v>346</v>
      </c>
      <c r="D4" s="564"/>
      <c r="E4" s="199"/>
    </row>
    <row r="5" spans="1:6" ht="135.75" customHeight="1">
      <c r="A5" s="577" t="s">
        <v>198</v>
      </c>
      <c r="B5" s="574" t="s">
        <v>303</v>
      </c>
      <c r="C5" s="317" t="s">
        <v>348</v>
      </c>
      <c r="D5" s="254" t="s">
        <v>365</v>
      </c>
      <c r="E5" s="201"/>
    </row>
    <row r="6" spans="1:6" ht="135.75" customHeight="1">
      <c r="A6" s="578"/>
      <c r="B6" s="575"/>
      <c r="C6" s="324" t="s">
        <v>349</v>
      </c>
      <c r="D6" s="325" t="s">
        <v>366</v>
      </c>
      <c r="E6" s="144"/>
    </row>
    <row r="7" spans="1:6" ht="135.75" customHeight="1">
      <c r="A7" s="579"/>
      <c r="B7" s="576"/>
      <c r="C7" s="255" t="s">
        <v>350</v>
      </c>
      <c r="D7" s="256" t="s">
        <v>367</v>
      </c>
      <c r="E7" s="144"/>
    </row>
    <row r="8" spans="1:6" ht="51" customHeight="1">
      <c r="A8" s="565" t="s">
        <v>200</v>
      </c>
      <c r="B8" s="566" t="s">
        <v>199</v>
      </c>
      <c r="C8" s="193" t="s">
        <v>351</v>
      </c>
      <c r="D8" s="204" t="s">
        <v>352</v>
      </c>
      <c r="E8" s="205"/>
    </row>
    <row r="9" spans="1:6" ht="47.25" customHeight="1">
      <c r="A9" s="565"/>
      <c r="B9" s="566"/>
      <c r="C9" s="202" t="s">
        <v>353</v>
      </c>
      <c r="D9" s="203" t="s">
        <v>354</v>
      </c>
      <c r="E9" s="195"/>
    </row>
    <row r="10" spans="1:6" ht="49.5" customHeight="1">
      <c r="A10" s="546" t="s">
        <v>214</v>
      </c>
      <c r="B10" s="548" t="s">
        <v>215</v>
      </c>
      <c r="C10" s="320" t="s">
        <v>358</v>
      </c>
      <c r="D10" s="321" t="s">
        <v>355</v>
      </c>
      <c r="E10" s="214"/>
      <c r="F10" s="213"/>
    </row>
    <row r="11" spans="1:6" ht="49.5" customHeight="1">
      <c r="A11" s="547"/>
      <c r="B11" s="549"/>
      <c r="C11" s="316" t="s">
        <v>356</v>
      </c>
      <c r="D11" s="322" t="s">
        <v>356</v>
      </c>
      <c r="E11" s="215"/>
    </row>
    <row r="12" spans="1:6" ht="49.5" customHeight="1">
      <c r="A12" s="550" t="s">
        <v>226</v>
      </c>
      <c r="B12" s="552" t="s">
        <v>227</v>
      </c>
      <c r="C12" s="319" t="s">
        <v>357</v>
      </c>
      <c r="D12" s="216" t="s">
        <v>358</v>
      </c>
      <c r="E12" s="217"/>
    </row>
    <row r="13" spans="1:6" ht="42.75" customHeight="1">
      <c r="A13" s="551"/>
      <c r="B13" s="553"/>
      <c r="C13" s="318" t="s">
        <v>359</v>
      </c>
      <c r="D13" s="323" t="s">
        <v>360</v>
      </c>
      <c r="E13" s="218"/>
    </row>
    <row r="14" spans="1:6" ht="69" customHeight="1">
      <c r="A14" s="570" t="s">
        <v>230</v>
      </c>
      <c r="B14" s="569" t="s">
        <v>234</v>
      </c>
      <c r="C14" s="351" t="s">
        <v>342</v>
      </c>
      <c r="D14" s="352" t="s">
        <v>361</v>
      </c>
      <c r="E14" s="313"/>
    </row>
    <row r="15" spans="1:6" ht="69" customHeight="1">
      <c r="A15" s="571"/>
      <c r="B15" s="560"/>
      <c r="C15" s="353" t="s">
        <v>343</v>
      </c>
      <c r="D15" s="354" t="s">
        <v>362</v>
      </c>
      <c r="E15" s="314"/>
    </row>
    <row r="16" spans="1:6" ht="69" customHeight="1">
      <c r="A16" s="572"/>
      <c r="B16" s="561"/>
      <c r="C16" s="355" t="s">
        <v>344</v>
      </c>
      <c r="D16" s="356" t="s">
        <v>363</v>
      </c>
      <c r="E16" s="315"/>
    </row>
    <row r="17" spans="1:5" ht="47.25" customHeight="1">
      <c r="A17" s="543" t="s">
        <v>241</v>
      </c>
      <c r="B17" s="560" t="s">
        <v>374</v>
      </c>
      <c r="C17" s="351" t="s">
        <v>345</v>
      </c>
      <c r="D17" s="357" t="s">
        <v>364</v>
      </c>
      <c r="E17" s="314"/>
    </row>
    <row r="18" spans="1:5" ht="47.25" customHeight="1">
      <c r="A18" s="544"/>
      <c r="B18" s="560"/>
      <c r="C18" s="353" t="s">
        <v>346</v>
      </c>
      <c r="D18" s="358" t="s">
        <v>364</v>
      </c>
      <c r="E18" s="314"/>
    </row>
    <row r="19" spans="1:5" ht="47.25" customHeight="1">
      <c r="A19" s="545"/>
      <c r="B19" s="561"/>
      <c r="C19" s="359" t="s">
        <v>347</v>
      </c>
      <c r="D19" s="355" t="s">
        <v>364</v>
      </c>
      <c r="E19" s="315"/>
    </row>
    <row r="20" spans="1:5" ht="182.25" customHeight="1">
      <c r="A20" s="543" t="s">
        <v>248</v>
      </c>
      <c r="B20" s="560" t="s">
        <v>378</v>
      </c>
      <c r="C20" s="351" t="s">
        <v>345</v>
      </c>
      <c r="D20" s="358" t="s">
        <v>259</v>
      </c>
      <c r="E20" s="313"/>
    </row>
    <row r="21" spans="1:5" ht="182.25" customHeight="1">
      <c r="A21" s="544"/>
      <c r="B21" s="560"/>
      <c r="C21" s="353" t="s">
        <v>346</v>
      </c>
      <c r="D21" s="360" t="s">
        <v>258</v>
      </c>
      <c r="E21" s="314"/>
    </row>
    <row r="22" spans="1:5" ht="182.25" customHeight="1">
      <c r="A22" s="545"/>
      <c r="B22" s="561"/>
      <c r="C22" s="359" t="s">
        <v>347</v>
      </c>
      <c r="D22" s="361" t="s">
        <v>260</v>
      </c>
      <c r="E22" s="315"/>
    </row>
    <row r="23" spans="1:5" ht="123" customHeight="1">
      <c r="A23" s="543" t="s">
        <v>266</v>
      </c>
      <c r="B23" s="580" t="s">
        <v>272</v>
      </c>
      <c r="C23" s="362" t="s">
        <v>345</v>
      </c>
      <c r="D23" s="362" t="s">
        <v>373</v>
      </c>
      <c r="E23" s="217"/>
    </row>
    <row r="24" spans="1:5" ht="123" customHeight="1">
      <c r="A24" s="544"/>
      <c r="B24" s="580"/>
      <c r="C24" s="363" t="s">
        <v>346</v>
      </c>
      <c r="D24" s="353" t="s">
        <v>381</v>
      </c>
      <c r="E24" s="312"/>
    </row>
    <row r="25" spans="1:5" ht="123" customHeight="1">
      <c r="A25" s="545"/>
      <c r="B25" s="580"/>
      <c r="C25" s="355" t="s">
        <v>347</v>
      </c>
      <c r="D25" s="359" t="s">
        <v>382</v>
      </c>
      <c r="E25" s="218"/>
    </row>
    <row r="26" spans="1:5" ht="49.5" customHeight="1">
      <c r="A26" s="557" t="s">
        <v>281</v>
      </c>
      <c r="B26" s="554" t="s">
        <v>282</v>
      </c>
      <c r="C26" s="351" t="s">
        <v>345</v>
      </c>
      <c r="D26" s="364" t="s">
        <v>370</v>
      </c>
      <c r="E26" s="217"/>
    </row>
    <row r="27" spans="1:5" ht="49.5" customHeight="1">
      <c r="A27" s="558"/>
      <c r="B27" s="555"/>
      <c r="C27" s="353" t="s">
        <v>346</v>
      </c>
      <c r="D27" s="363" t="s">
        <v>371</v>
      </c>
      <c r="E27" s="312"/>
    </row>
    <row r="28" spans="1:5" ht="49.5" customHeight="1">
      <c r="A28" s="559"/>
      <c r="B28" s="556"/>
      <c r="C28" s="365" t="s">
        <v>347</v>
      </c>
      <c r="D28" s="355" t="s">
        <v>372</v>
      </c>
      <c r="E28" s="218"/>
    </row>
    <row r="29" spans="1:5" ht="44.25" customHeight="1">
      <c r="A29" s="573" t="s">
        <v>296</v>
      </c>
      <c r="B29" s="554" t="s">
        <v>298</v>
      </c>
      <c r="C29" s="364" t="s">
        <v>345</v>
      </c>
      <c r="D29" s="364" t="s">
        <v>368</v>
      </c>
      <c r="E29" s="217"/>
    </row>
    <row r="30" spans="1:5" ht="44.25" customHeight="1">
      <c r="A30" s="558"/>
      <c r="B30" s="555"/>
      <c r="C30" s="353" t="s">
        <v>346</v>
      </c>
      <c r="D30" s="363" t="s">
        <v>368</v>
      </c>
      <c r="E30" s="312"/>
    </row>
    <row r="31" spans="1:5" ht="44.25" customHeight="1">
      <c r="A31" s="559"/>
      <c r="B31" s="556"/>
      <c r="C31" s="365" t="s">
        <v>347</v>
      </c>
      <c r="D31" s="355" t="s">
        <v>369</v>
      </c>
      <c r="E31" s="218"/>
    </row>
    <row r="32" spans="1:5" ht="409.5" customHeight="1">
      <c r="A32" s="573" t="s">
        <v>300</v>
      </c>
      <c r="B32" s="569" t="s">
        <v>312</v>
      </c>
      <c r="C32" s="351" t="s">
        <v>345</v>
      </c>
      <c r="D32" s="362" t="s">
        <v>313</v>
      </c>
      <c r="E32" s="217"/>
    </row>
    <row r="33" spans="1:5" ht="409.5" customHeight="1">
      <c r="A33" s="558"/>
      <c r="B33" s="560"/>
      <c r="C33" s="353" t="s">
        <v>346</v>
      </c>
      <c r="D33" s="363" t="s">
        <v>315</v>
      </c>
      <c r="E33" s="312"/>
    </row>
    <row r="34" spans="1:5" ht="409.5" customHeight="1">
      <c r="A34" s="559"/>
      <c r="B34" s="561"/>
      <c r="C34" s="359" t="s">
        <v>347</v>
      </c>
      <c r="D34" s="355" t="s">
        <v>314</v>
      </c>
      <c r="E34" s="218"/>
    </row>
  </sheetData>
  <mergeCells count="25">
    <mergeCell ref="B29:B31"/>
    <mergeCell ref="A29:A31"/>
    <mergeCell ref="B32:B34"/>
    <mergeCell ref="A32:A34"/>
    <mergeCell ref="B5:B7"/>
    <mergeCell ref="A5:A7"/>
    <mergeCell ref="B20:B22"/>
    <mergeCell ref="A20:A22"/>
    <mergeCell ref="B23:B25"/>
    <mergeCell ref="A23:A25"/>
    <mergeCell ref="D2:D4"/>
    <mergeCell ref="A8:A9"/>
    <mergeCell ref="B8:B9"/>
    <mergeCell ref="A2:A4"/>
    <mergeCell ref="B2:B4"/>
    <mergeCell ref="B14:B16"/>
    <mergeCell ref="A14:A16"/>
    <mergeCell ref="A17:A19"/>
    <mergeCell ref="A10:A11"/>
    <mergeCell ref="B10:B11"/>
    <mergeCell ref="A12:A13"/>
    <mergeCell ref="B12:B13"/>
    <mergeCell ref="B26:B28"/>
    <mergeCell ref="A26:A28"/>
    <mergeCell ref="B17:B19"/>
  </mergeCells>
  <phoneticPr fontId="82" type="noConversion"/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1:L13"/>
  <sheetViews>
    <sheetView showGridLines="0" view="pageBreakPreview" zoomScaleNormal="100" workbookViewId="0"/>
  </sheetViews>
  <sheetFormatPr defaultRowHeight="12.75"/>
  <cols>
    <col min="1" max="1" width="1.42578125" customWidth="1"/>
    <col min="2" max="2" width="2" customWidth="1"/>
    <col min="3" max="3" width="1.5703125" customWidth="1"/>
    <col min="4" max="4" width="8.28515625" customWidth="1"/>
    <col min="10" max="10" width="22.28515625" customWidth="1"/>
    <col min="11" max="11" width="26.85546875" customWidth="1"/>
  </cols>
  <sheetData>
    <row r="1" spans="2:12">
      <c r="B1" s="8"/>
      <c r="C1" s="8"/>
      <c r="D1" s="8"/>
      <c r="E1" s="8"/>
      <c r="F1" s="8"/>
      <c r="G1" s="8"/>
      <c r="H1" s="8"/>
      <c r="I1" s="8"/>
      <c r="J1" s="8"/>
      <c r="K1" s="8"/>
      <c r="L1" s="8"/>
    </row>
    <row r="2" spans="2:12" ht="26.25">
      <c r="B2" s="8"/>
      <c r="C2" s="8"/>
      <c r="D2" s="9"/>
      <c r="E2" s="10" t="s">
        <v>38</v>
      </c>
      <c r="F2" s="8"/>
      <c r="G2" s="8"/>
      <c r="H2" s="8"/>
      <c r="I2" s="8"/>
      <c r="J2" s="8"/>
      <c r="K2" s="31" t="s">
        <v>39</v>
      </c>
      <c r="L2" s="8"/>
    </row>
    <row r="3" spans="2:12">
      <c r="B3" s="8"/>
      <c r="C3" s="8"/>
      <c r="D3" s="8"/>
      <c r="E3" s="8"/>
      <c r="F3" s="11"/>
      <c r="G3" s="8"/>
      <c r="H3" s="8"/>
      <c r="I3" s="8"/>
      <c r="J3" s="8"/>
      <c r="K3" s="8"/>
      <c r="L3" s="8"/>
    </row>
    <row r="4" spans="2:12">
      <c r="B4" s="8"/>
      <c r="C4" s="8"/>
      <c r="D4" s="8"/>
      <c r="E4" s="8"/>
      <c r="F4" s="8"/>
      <c r="G4" s="8"/>
      <c r="H4" s="8"/>
      <c r="I4" s="8"/>
      <c r="J4" s="8"/>
      <c r="K4" s="8"/>
      <c r="L4" s="8"/>
    </row>
    <row r="5" spans="2:12">
      <c r="B5" s="12"/>
      <c r="C5" s="13"/>
      <c r="D5" s="12"/>
      <c r="E5" s="12"/>
      <c r="F5" s="12"/>
      <c r="G5" s="12"/>
      <c r="H5" s="12"/>
      <c r="I5" s="12"/>
      <c r="J5" s="12"/>
      <c r="K5" s="12"/>
      <c r="L5" s="32"/>
    </row>
    <row r="6" spans="2:12">
      <c r="B6" s="14" t="s">
        <v>40</v>
      </c>
      <c r="C6" s="15"/>
      <c r="D6" s="16"/>
      <c r="E6" s="17"/>
      <c r="F6" s="16"/>
      <c r="G6" s="16"/>
      <c r="H6" s="16"/>
      <c r="I6" s="16"/>
      <c r="J6" s="16"/>
      <c r="K6" s="33"/>
      <c r="L6" s="19"/>
    </row>
    <row r="7" spans="2:12">
      <c r="B7" s="18"/>
      <c r="C7" s="19"/>
      <c r="D7" s="581" t="s">
        <v>41</v>
      </c>
      <c r="E7" s="581"/>
      <c r="F7" s="581"/>
      <c r="G7" s="581"/>
      <c r="H7" s="582" t="s">
        <v>42</v>
      </c>
      <c r="I7" s="582"/>
      <c r="J7" s="582"/>
      <c r="K7" s="582"/>
      <c r="L7" s="34"/>
    </row>
    <row r="8" spans="2:12" ht="42" customHeight="1">
      <c r="B8" s="18"/>
      <c r="C8" s="19"/>
      <c r="D8" s="20">
        <v>1</v>
      </c>
      <c r="E8" s="583" t="s">
        <v>43</v>
      </c>
      <c r="F8" s="583"/>
      <c r="G8" s="583"/>
      <c r="H8" s="20">
        <v>1.1000000000000001</v>
      </c>
      <c r="I8" s="584" t="s">
        <v>50</v>
      </c>
      <c r="J8" s="584"/>
      <c r="K8" s="584"/>
      <c r="L8" s="34"/>
    </row>
    <row r="9" spans="2:12" ht="51.75" customHeight="1">
      <c r="B9" s="21"/>
      <c r="C9" s="22"/>
      <c r="D9" s="23"/>
      <c r="E9" s="585"/>
      <c r="F9" s="585"/>
      <c r="G9" s="585"/>
      <c r="H9" s="23"/>
      <c r="I9" s="586"/>
      <c r="J9" s="586"/>
      <c r="K9" s="586"/>
      <c r="L9" s="34"/>
    </row>
    <row r="10" spans="2:12"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</row>
    <row r="11" spans="2:12">
      <c r="B11" s="14" t="s">
        <v>44</v>
      </c>
      <c r="C11" s="15"/>
      <c r="D11" s="15"/>
      <c r="E11" s="25"/>
      <c r="F11" s="15"/>
      <c r="G11" s="15"/>
      <c r="H11" s="15"/>
      <c r="I11" s="15"/>
      <c r="J11" s="15"/>
      <c r="K11" s="33"/>
      <c r="L11" s="24"/>
    </row>
    <row r="12" spans="2:12">
      <c r="B12" s="26"/>
      <c r="C12" s="27"/>
      <c r="D12" s="28"/>
      <c r="E12" s="28"/>
      <c r="F12" s="28"/>
      <c r="G12" s="29"/>
      <c r="H12" s="29"/>
      <c r="I12" s="29"/>
      <c r="J12" s="29"/>
      <c r="K12" s="35"/>
      <c r="L12" s="24"/>
    </row>
    <row r="13" spans="2:12">
      <c r="B13" s="30"/>
      <c r="C13" s="12"/>
      <c r="D13" s="12"/>
      <c r="E13" s="12"/>
      <c r="F13" s="12"/>
      <c r="G13" s="12"/>
      <c r="H13" s="12"/>
      <c r="I13" s="12"/>
      <c r="J13" s="12"/>
      <c r="K13" s="36"/>
      <c r="L13" s="24"/>
    </row>
  </sheetData>
  <sheetProtection selectLockedCells="1" selectUnlockedCells="1"/>
  <mergeCells count="6">
    <mergeCell ref="D7:G7"/>
    <mergeCell ref="H7:K7"/>
    <mergeCell ref="E8:G8"/>
    <mergeCell ref="I8:K8"/>
    <mergeCell ref="E9:G9"/>
    <mergeCell ref="I9:K9"/>
  </mergeCells>
  <hyperlinks>
    <hyperlink ref="K2" location="Summary!A1" display="Return to Summary sheet"/>
  </hyperlinks>
  <pageMargins left="0.7" right="0.7" top="0.75" bottom="0.75" header="0.51" footer="0.51"/>
  <pageSetup paperSize="9" scale="76" fitToHeight="0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1:E22"/>
  <sheetViews>
    <sheetView showGridLines="0" view="pageBreakPreview" zoomScaleNormal="100" workbookViewId="0"/>
  </sheetViews>
  <sheetFormatPr defaultRowHeight="12.75"/>
  <cols>
    <col min="1" max="2" width="9.140625" style="1"/>
    <col min="3" max="3" width="46.5703125" style="1" customWidth="1"/>
    <col min="4" max="4" width="19.140625" style="1" customWidth="1"/>
    <col min="5" max="5" width="26.140625" style="1" customWidth="1"/>
    <col min="6" max="16384" width="9.140625" style="1"/>
  </cols>
  <sheetData>
    <row r="1" spans="2:5">
      <c r="B1" s="2" t="s">
        <v>45</v>
      </c>
      <c r="C1" s="2" t="s">
        <v>46</v>
      </c>
    </row>
    <row r="5" spans="2:5">
      <c r="B5" s="3" t="s">
        <v>47</v>
      </c>
      <c r="C5" s="3" t="s">
        <v>46</v>
      </c>
      <c r="D5" s="3" t="s">
        <v>48</v>
      </c>
      <c r="E5" s="3" t="s">
        <v>49</v>
      </c>
    </row>
    <row r="6" spans="2:5" ht="12.75" customHeight="1">
      <c r="B6" s="4"/>
      <c r="C6" s="5"/>
      <c r="D6" s="6"/>
      <c r="E6" s="6"/>
    </row>
    <row r="7" spans="2:5" ht="12.75" customHeight="1">
      <c r="B7" s="4"/>
      <c r="C7" s="5"/>
      <c r="D7" s="6"/>
      <c r="E7" s="6"/>
    </row>
    <row r="8" spans="2:5" ht="12.75" customHeight="1">
      <c r="B8" s="4"/>
      <c r="C8" s="5"/>
      <c r="D8" s="6"/>
      <c r="E8" s="6"/>
    </row>
    <row r="9" spans="2:5" ht="12.75" customHeight="1">
      <c r="B9" s="4"/>
      <c r="C9" s="5"/>
      <c r="D9" s="6"/>
      <c r="E9" s="6"/>
    </row>
    <row r="10" spans="2:5" ht="12.75" customHeight="1">
      <c r="B10" s="4"/>
      <c r="C10" s="5"/>
      <c r="D10" s="6"/>
      <c r="E10" s="6"/>
    </row>
    <row r="11" spans="2:5" ht="12.75" customHeight="1">
      <c r="B11" s="4"/>
      <c r="C11" s="5"/>
      <c r="D11" s="6"/>
      <c r="E11" s="6"/>
    </row>
    <row r="12" spans="2:5" ht="12.75" customHeight="1">
      <c r="B12" s="4"/>
      <c r="C12" s="5"/>
      <c r="D12" s="6"/>
      <c r="E12" s="6"/>
    </row>
    <row r="13" spans="2:5" ht="12.75" customHeight="1">
      <c r="B13" s="4"/>
      <c r="C13" s="5"/>
      <c r="D13" s="6"/>
      <c r="E13" s="6"/>
    </row>
    <row r="14" spans="2:5" ht="12.75" customHeight="1">
      <c r="B14" s="4"/>
      <c r="C14" s="5"/>
      <c r="D14" s="6"/>
      <c r="E14" s="6"/>
    </row>
    <row r="15" spans="2:5" ht="12.75" customHeight="1">
      <c r="B15" s="4"/>
      <c r="C15" s="5"/>
      <c r="D15" s="6"/>
      <c r="E15" s="6"/>
    </row>
    <row r="16" spans="2:5" ht="12.75" customHeight="1">
      <c r="B16" s="4"/>
      <c r="C16" s="5"/>
      <c r="D16" s="6"/>
      <c r="E16" s="6"/>
    </row>
    <row r="17" spans="2:5" ht="12.75" customHeight="1">
      <c r="B17" s="4"/>
      <c r="C17" s="7"/>
      <c r="D17" s="6"/>
      <c r="E17" s="6"/>
    </row>
    <row r="18" spans="2:5" ht="12.75" customHeight="1">
      <c r="B18" s="4"/>
      <c r="C18" s="7"/>
      <c r="D18" s="6"/>
      <c r="E18" s="6"/>
    </row>
    <row r="19" spans="2:5" ht="12.75" customHeight="1">
      <c r="B19" s="4"/>
      <c r="C19" s="7"/>
      <c r="D19" s="6"/>
      <c r="E19" s="6"/>
    </row>
    <row r="20" spans="2:5">
      <c r="B20" s="4"/>
      <c r="C20" s="5"/>
      <c r="D20" s="6"/>
      <c r="E20" s="6"/>
    </row>
    <row r="21" spans="2:5" ht="12.75" customHeight="1">
      <c r="B21" s="4"/>
      <c r="C21" s="7"/>
      <c r="D21" s="6"/>
      <c r="E21" s="6"/>
    </row>
    <row r="22" spans="2:5" ht="12.75" customHeight="1">
      <c r="B22" s="4"/>
      <c r="C22" s="7"/>
      <c r="D22" s="6"/>
      <c r="E22" s="6"/>
    </row>
  </sheetData>
  <sheetProtection selectLockedCells="1" selectUnlockedCells="1"/>
  <pageMargins left="0.7" right="0.7" top="0.75" bottom="0.75" header="0.51" footer="0.51"/>
  <pageSetup paperSize="9" scale="74" fitToHeight="0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Cover</vt:lpstr>
      <vt:lpstr>Summary</vt:lpstr>
      <vt:lpstr>SampleTCS</vt:lpstr>
      <vt:lpstr>Test cases</vt:lpstr>
      <vt:lpstr>Test Data</vt:lpstr>
      <vt:lpstr> Test environment.</vt:lpstr>
      <vt:lpstr>Screen.</vt:lpstr>
      <vt:lpstr>'Test cases'!Excel_BuiltIn_Print_Area</vt:lpstr>
      <vt:lpstr>' Test environment.'!Print_Area</vt:lpstr>
      <vt:lpstr>Cover!Print_Area</vt:lpstr>
      <vt:lpstr>Screen.!Print_Area</vt:lpstr>
      <vt:lpstr>Summary!Print_Area</vt:lpstr>
      <vt:lpstr>'Test cases'!Print_Area</vt:lpstr>
      <vt:lpstr>SampleTCS!Z_3ADB2162_F023_4047_A590_85A9AD971B9A_.wvu.Cols</vt:lpstr>
      <vt:lpstr>'Test cases'!Z_3ADB2162_F023_4047_A590_85A9AD971B9A_.wvu.Cols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Test Cases &amp; Test Execution Report (with Macro)</dc:title>
  <dc:creator>sile</dc:creator>
  <cp:lastModifiedBy>Linh Hong Nguyen</cp:lastModifiedBy>
  <cp:revision>4</cp:revision>
  <cp:lastPrinted>2006-05-31T03:37:51Z</cp:lastPrinted>
  <dcterms:created xsi:type="dcterms:W3CDTF">2003-07-08T09:39:09Z</dcterms:created>
  <dcterms:modified xsi:type="dcterms:W3CDTF">2023-01-27T04:12:04Z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1033-10.2.0.7439</vt:lpwstr>
  </property>
  <property fmtid="{D5CDD505-2E9C-101B-9397-08002B2CF9AE}" pid="3" name="MSIP_Label_d2a41c4f-ebae-49a5-b534-eba27c352384_Enabled">
    <vt:lpwstr>true</vt:lpwstr>
  </property>
  <property fmtid="{D5CDD505-2E9C-101B-9397-08002B2CF9AE}" pid="4" name="MSIP_Label_d2a41c4f-ebae-49a5-b534-eba27c352384_SetDate">
    <vt:lpwstr>2021-10-06T08:18:59Z</vt:lpwstr>
  </property>
  <property fmtid="{D5CDD505-2E9C-101B-9397-08002B2CF9AE}" pid="5" name="MSIP_Label_d2a41c4f-ebae-49a5-b534-eba27c352384_Method">
    <vt:lpwstr>Privileged</vt:lpwstr>
  </property>
  <property fmtid="{D5CDD505-2E9C-101B-9397-08002B2CF9AE}" pid="6" name="MSIP_Label_d2a41c4f-ebae-49a5-b534-eba27c352384_Name">
    <vt:lpwstr>Public</vt:lpwstr>
  </property>
  <property fmtid="{D5CDD505-2E9C-101B-9397-08002B2CF9AE}" pid="7" name="MSIP_Label_d2a41c4f-ebae-49a5-b534-eba27c352384_SiteId">
    <vt:lpwstr>18791e17-6159-4f52-a8d4-de814ca8284a</vt:lpwstr>
  </property>
  <property fmtid="{D5CDD505-2E9C-101B-9397-08002B2CF9AE}" pid="8" name="MSIP_Label_d2a41c4f-ebae-49a5-b534-eba27c352384_ActionId">
    <vt:lpwstr>cd867a91-a59c-4156-bd80-c76d925b2645</vt:lpwstr>
  </property>
  <property fmtid="{D5CDD505-2E9C-101B-9397-08002B2CF9AE}" pid="9" name="MSIP_Label_d2a41c4f-ebae-49a5-b534-eba27c352384_ContentBits">
    <vt:lpwstr>0</vt:lpwstr>
  </property>
</Properties>
</file>